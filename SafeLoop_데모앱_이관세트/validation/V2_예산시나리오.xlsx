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설명" sheetId="1" state="visible" r:id="rId3"/>
    <sheet name="개입_파라미터" sheetId="2" state="visible" r:id="rId4"/>
    <sheet name="시나리오_소규모" sheetId="3" state="visible" r:id="rId5"/>
    <sheet name="시나리오_중규모" sheetId="4" state="visible" r:id="rId6"/>
    <sheet name="시나리오_확장" sheetId="5" state="visible" r:id="rId7"/>
    <sheet name="슬라이드13_요약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<sst xmlns="http://schemas.openxmlformats.org/spreadsheetml/2006/main" count="151" uniqueCount="110">
  <si>
    <r>
      <rPr>
        <b val="true"/>
        <sz val="11"/>
        <rFont val="맑은 고딕"/>
        <family val="0"/>
        <charset val="1"/>
      </rPr>
      <t xml:space="preserve">V-2 </t>
    </r>
    <r>
      <rPr>
        <b val="true"/>
        <sz val="11"/>
        <rFont val="Noto Sans CJK KR"/>
        <family val="2"/>
      </rPr>
      <t xml:space="preserve">예산 시나리오 — 사용 설명서</t>
    </r>
  </si>
  <si>
    <r>
      <rPr>
        <b val="true"/>
        <sz val="11"/>
        <rFont val="맑은 고딕"/>
        <family val="0"/>
        <charset val="1"/>
      </rPr>
      <t xml:space="preserve">[</t>
    </r>
    <r>
      <rPr>
        <b val="true"/>
        <sz val="11"/>
        <rFont val="Noto Sans CJK KR"/>
        <family val="2"/>
      </rPr>
      <t xml:space="preserve">목적</t>
    </r>
    <r>
      <rPr>
        <b val="true"/>
        <sz val="11"/>
        <rFont val="맑은 고딕"/>
        <family val="0"/>
        <charset val="1"/>
      </rPr>
      <t xml:space="preserve">]</t>
    </r>
  </si>
  <si>
    <r>
      <rPr>
        <sz val="10"/>
        <rFont val="Noto Sans CJK KR"/>
        <family val="2"/>
      </rPr>
      <t xml:space="preserve">슬라이드 </t>
    </r>
    <r>
      <rPr>
        <sz val="10"/>
        <rFont val="맑은 고딕"/>
        <family val="0"/>
        <charset val="1"/>
      </rPr>
      <t xml:space="preserve">13(3</t>
    </r>
    <r>
      <rPr>
        <sz val="10"/>
        <rFont val="Noto Sans CJK KR"/>
        <family val="2"/>
      </rPr>
      <t xml:space="preserve">단계 예산 최적화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KR"/>
        <family val="2"/>
      </rPr>
      <t xml:space="preserve">의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KR"/>
        <family val="2"/>
      </rPr>
      <t xml:space="preserve">개 시나리오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KR"/>
        <family val="2"/>
      </rPr>
      <t xml:space="preserve">소규모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KR"/>
        <family val="2"/>
      </rPr>
      <t xml:space="preserve">중규모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KR"/>
        <family val="2"/>
      </rPr>
      <t xml:space="preserve">확장</t>
    </r>
    <r>
      <rPr>
        <sz val="10"/>
        <rFont val="맑은 고딕"/>
        <family val="0"/>
        <charset val="1"/>
      </rPr>
      <t xml:space="preserve">) 'RISK ↓' </t>
    </r>
    <r>
      <rPr>
        <sz val="10"/>
        <rFont val="Noto Sans CJK KR"/>
        <family val="2"/>
      </rPr>
      <t xml:space="preserve">수치를 채우기 위한 정량 시뮬레이션 템플릿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</si>
  <si>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KR"/>
        <family val="2"/>
      </rPr>
      <t xml:space="preserve">슬라이드 </t>
    </r>
    <r>
      <rPr>
        <sz val="10"/>
        <rFont val="맑은 고딕"/>
        <family val="0"/>
        <charset val="1"/>
      </rPr>
      <t xml:space="preserve">13 </t>
    </r>
    <r>
      <rPr>
        <sz val="10"/>
        <rFont val="Noto Sans CJK KR"/>
        <family val="2"/>
      </rPr>
      <t xml:space="preserve">대타이틀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KR"/>
        <family val="2"/>
      </rPr>
      <t xml:space="preserve">예산 </t>
    </r>
    <r>
      <rPr>
        <sz val="10"/>
        <rFont val="맑은 고딕"/>
        <family val="0"/>
        <charset val="1"/>
      </rPr>
      <t xml:space="preserve">X</t>
    </r>
    <r>
      <rPr>
        <sz val="10"/>
        <rFont val="Noto Sans CJK KR"/>
        <family val="2"/>
      </rPr>
      <t xml:space="preserve">를 배분하면 전국 위험도가 </t>
    </r>
    <r>
      <rPr>
        <sz val="10"/>
        <rFont val="맑은 고딕"/>
        <family val="0"/>
        <charset val="1"/>
      </rPr>
      <t xml:space="preserve">Y </t>
    </r>
    <r>
      <rPr>
        <sz val="10"/>
        <rFont val="Noto Sans CJK KR"/>
        <family val="2"/>
      </rPr>
      <t xml:space="preserve">감소합니다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KR"/>
        <family val="2"/>
      </rPr>
      <t xml:space="preserve">의 </t>
    </r>
    <r>
      <rPr>
        <sz val="10"/>
        <rFont val="맑은 고딕"/>
        <family val="0"/>
        <charset val="1"/>
      </rPr>
      <t xml:space="preserve">X</t>
    </r>
    <r>
      <rPr>
        <sz val="10"/>
        <rFont val="Noto Sans CJK KR"/>
        <family val="2"/>
      </rPr>
      <t xml:space="preserve">와 </t>
    </r>
    <r>
      <rPr>
        <sz val="10"/>
        <rFont val="맑은 고딕"/>
        <family val="0"/>
        <charset val="1"/>
      </rPr>
      <t xml:space="preserve">Y</t>
    </r>
    <r>
      <rPr>
        <sz val="10"/>
        <rFont val="Noto Sans CJK KR"/>
        <family val="2"/>
      </rPr>
      <t xml:space="preserve">도 본 파일에서 생성됩니다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</si>
  <si>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1"/>
        <rFont val="맑은 고딕"/>
        <family val="0"/>
        <charset val="1"/>
      </rPr>
      <t xml:space="preserve">[</t>
    </r>
    <r>
      <rPr>
        <b val="true"/>
        <sz val="11"/>
        <rFont val="Noto Sans CJK KR"/>
        <family val="2"/>
      </rPr>
      <t xml:space="preserve">시트 구성</t>
    </r>
    <r>
      <rPr>
        <b val="true"/>
        <sz val="11"/>
        <rFont val="맑은 고딕"/>
        <family val="0"/>
        <charset val="1"/>
      </rPr>
      <t xml:space="preserve">]</t>
    </r>
  </si>
  <si>
    <r>
      <rPr>
        <sz val="10"/>
        <rFont val="Noto Sans CJK KR"/>
        <family val="2"/>
      </rPr>
      <t xml:space="preserve">• 설명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KR"/>
        <family val="2"/>
      </rPr>
      <t xml:space="preserve">본 시트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</si>
  <si>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KR"/>
        <family val="2"/>
      </rPr>
      <t xml:space="preserve">• 개입</t>
    </r>
    <r>
      <rPr>
        <sz val="10"/>
        <rFont val="맑은 고딕"/>
        <family val="0"/>
        <charset val="1"/>
      </rPr>
      <t xml:space="preserve">_</t>
    </r>
    <r>
      <rPr>
        <sz val="10"/>
        <rFont val="Noto Sans CJK KR"/>
        <family val="2"/>
      </rPr>
      <t xml:space="preserve">파라미터 — 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KR"/>
        <family val="2"/>
      </rPr>
      <t xml:space="preserve">개 개입 카테고리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KR"/>
        <family val="2"/>
      </rPr>
      <t xml:space="preserve">단위비용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KR"/>
        <family val="2"/>
      </rPr>
      <t xml:space="preserve">우선순위 입력</t>
    </r>
  </si>
  <si>
    <r>
      <rPr>
        <sz val="10"/>
        <rFont val="Noto Sans CJK KR"/>
        <family val="2"/>
      </rPr>
      <t xml:space="preserve">• 시나리오</t>
    </r>
    <r>
      <rPr>
        <sz val="10"/>
        <rFont val="맑은 고딕"/>
        <family val="0"/>
        <charset val="1"/>
      </rPr>
      <t xml:space="preserve">_</t>
    </r>
    <r>
      <rPr>
        <sz val="10"/>
        <rFont val="Noto Sans CJK KR"/>
        <family val="2"/>
      </rPr>
      <t xml:space="preserve">소규모 — </t>
    </r>
    <r>
      <rPr>
        <sz val="10"/>
        <rFont val="맑은 고딕"/>
        <family val="0"/>
        <charset val="1"/>
      </rPr>
      <t xml:space="preserve">S1 </t>
    </r>
    <r>
      <rPr>
        <sz val="10"/>
        <rFont val="Noto Sans CJK KR"/>
        <family val="2"/>
      </rPr>
      <t xml:space="preserve">상위 </t>
    </r>
    <r>
      <rPr>
        <sz val="10"/>
        <rFont val="맑은 고딕"/>
        <family val="0"/>
        <charset val="1"/>
      </rPr>
      <t xml:space="preserve">100</t>
    </r>
    <r>
      <rPr>
        <sz val="10"/>
        <rFont val="Noto Sans CJK KR"/>
        <family val="2"/>
      </rPr>
      <t xml:space="preserve">교 대상 예산 배분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KR"/>
        <family val="2"/>
      </rPr>
      <t xml:space="preserve">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KR"/>
        <family val="2"/>
      </rPr>
      <t xml:space="preserve">소규모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</si>
  <si>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KR"/>
        <family val="2"/>
      </rPr>
      <t xml:space="preserve">• 시나리오</t>
    </r>
    <r>
      <rPr>
        <sz val="10"/>
        <rFont val="맑은 고딕"/>
        <family val="0"/>
        <charset val="1"/>
      </rPr>
      <t xml:space="preserve">_</t>
    </r>
    <r>
      <rPr>
        <sz val="10"/>
        <rFont val="Noto Sans CJK KR"/>
        <family val="2"/>
      </rPr>
      <t xml:space="preserve">중규모 — </t>
    </r>
    <r>
      <rPr>
        <sz val="10"/>
        <rFont val="맑은 고딕"/>
        <family val="0"/>
        <charset val="1"/>
      </rPr>
      <t xml:space="preserve">S1 </t>
    </r>
    <r>
      <rPr>
        <sz val="10"/>
        <rFont val="Noto Sans CJK KR"/>
        <family val="2"/>
      </rPr>
      <t xml:space="preserve">전체 </t>
    </r>
    <r>
      <rPr>
        <sz val="10"/>
        <rFont val="맑은 고딕"/>
        <family val="0"/>
        <charset val="1"/>
      </rPr>
      <t xml:space="preserve">526</t>
    </r>
    <r>
      <rPr>
        <sz val="10"/>
        <rFont val="Noto Sans CJK KR"/>
        <family val="2"/>
      </rPr>
      <t xml:space="preserve">교 대상 예산 배분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KR"/>
        <family val="2"/>
      </rPr>
      <t xml:space="preserve">중간 규모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</si>
  <si>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KR"/>
        <family val="2"/>
      </rPr>
      <t xml:space="preserve">• 시나리오</t>
    </r>
    <r>
      <rPr>
        <sz val="10"/>
        <rFont val="맑은 고딕"/>
        <family val="0"/>
        <charset val="1"/>
      </rPr>
      <t xml:space="preserve">_</t>
    </r>
    <r>
      <rPr>
        <sz val="10"/>
        <rFont val="Noto Sans CJK KR"/>
        <family val="2"/>
      </rPr>
      <t xml:space="preserve">확장 — </t>
    </r>
    <r>
      <rPr>
        <sz val="10"/>
        <rFont val="맑은 고딕"/>
        <family val="0"/>
        <charset val="1"/>
      </rPr>
      <t xml:space="preserve">S1+S2 </t>
    </r>
    <r>
      <rPr>
        <sz val="10"/>
        <rFont val="Noto Sans CJK KR"/>
        <family val="2"/>
      </rPr>
      <t xml:space="preserve">전체 대상 예산 배분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KR"/>
        <family val="2"/>
      </rPr>
      <t xml:space="preserve">최대 규모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</si>
  <si>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KR"/>
        <family val="2"/>
      </rPr>
      <t xml:space="preserve">• 슬라이드</t>
    </r>
    <r>
      <rPr>
        <sz val="10"/>
        <rFont val="맑은 고딕"/>
        <family val="0"/>
        <charset val="1"/>
      </rPr>
      <t xml:space="preserve">13_</t>
    </r>
    <r>
      <rPr>
        <sz val="10"/>
        <rFont val="Noto Sans CJK KR"/>
        <family val="2"/>
      </rPr>
      <t xml:space="preserve">요약 —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KR"/>
        <family val="2"/>
      </rPr>
      <t xml:space="preserve">개 시나리오 결과 자동 집계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KR"/>
        <family val="2"/>
      </rPr>
      <t xml:space="preserve">치환 문구 생성</t>
    </r>
  </si>
  <si>
    <r>
      <rPr>
        <b val="true"/>
        <sz val="11"/>
        <rFont val="맑은 고딕"/>
        <family val="0"/>
        <charset val="1"/>
      </rPr>
      <t xml:space="preserve">[LP </t>
    </r>
    <r>
      <rPr>
        <b val="true"/>
        <sz val="11"/>
        <rFont val="Noto Sans CJK KR"/>
        <family val="2"/>
      </rPr>
      <t xml:space="preserve">공식</t>
    </r>
    <r>
      <rPr>
        <b val="true"/>
        <sz val="11"/>
        <rFont val="맑은 고딕"/>
        <family val="0"/>
        <charset val="1"/>
      </rPr>
      <t xml:space="preserve">]</t>
    </r>
  </si>
  <si>
    <r>
      <rPr>
        <sz val="10"/>
        <rFont val="Noto Sans CJK KR"/>
        <family val="2"/>
      </rPr>
      <t xml:space="preserve">• 결정변수 </t>
    </r>
    <r>
      <rPr>
        <sz val="10"/>
        <rFont val="맑은 고딕"/>
        <family val="0"/>
        <charset val="1"/>
      </rPr>
      <t xml:space="preserve">xᵢ = </t>
    </r>
    <r>
      <rPr>
        <sz val="10"/>
        <rFont val="Noto Sans CJK KR"/>
        <family val="2"/>
      </rPr>
      <t xml:space="preserve">카테고리 </t>
    </r>
    <r>
      <rPr>
        <sz val="10"/>
        <rFont val="맑은 고딕"/>
        <family val="0"/>
        <charset val="1"/>
      </rPr>
      <t xml:space="preserve">i</t>
    </r>
    <r>
      <rPr>
        <sz val="10"/>
        <rFont val="Noto Sans CJK KR"/>
        <family val="2"/>
      </rPr>
      <t xml:space="preserve">에 투입되는 개선 시설 수</t>
    </r>
  </si>
  <si>
    <r>
      <rPr>
        <sz val="10"/>
        <rFont val="Noto Sans CJK KR"/>
        <family val="2"/>
      </rPr>
      <t xml:space="preserve">• 목적함수  </t>
    </r>
    <r>
      <rPr>
        <sz val="10"/>
        <rFont val="맑은 고딕"/>
        <family val="0"/>
        <charset val="1"/>
      </rPr>
      <t xml:space="preserve">maximize Σ (</t>
    </r>
    <r>
      <rPr>
        <sz val="10"/>
        <rFont val="Noto Sans CJK KR"/>
        <family val="2"/>
      </rPr>
      <t xml:space="preserve">우선순위</t>
    </r>
    <r>
      <rPr>
        <sz val="10"/>
        <rFont val="맑은 고딕"/>
        <family val="0"/>
        <charset val="1"/>
      </rPr>
      <t xml:space="preserve">ᵢ × xᵢ) — </t>
    </r>
    <r>
      <rPr>
        <sz val="10"/>
        <rFont val="Noto Sans CJK KR"/>
        <family val="2"/>
      </rPr>
      <t xml:space="preserve">위험 감소 총합 최대화</t>
    </r>
  </si>
  <si>
    <r>
      <rPr>
        <sz val="10"/>
        <rFont val="Noto Sans CJK KR"/>
        <family val="2"/>
      </rPr>
      <t xml:space="preserve">• 제약조건  ① </t>
    </r>
    <r>
      <rPr>
        <sz val="10"/>
        <rFont val="맑은 고딕"/>
        <family val="0"/>
        <charset val="1"/>
      </rPr>
      <t xml:space="preserve">Σ (</t>
    </r>
    <r>
      <rPr>
        <sz val="10"/>
        <rFont val="Noto Sans CJK KR"/>
        <family val="2"/>
      </rPr>
      <t xml:space="preserve">단위비용</t>
    </r>
    <r>
      <rPr>
        <sz val="10"/>
        <rFont val="맑은 고딕"/>
        <family val="0"/>
        <charset val="1"/>
      </rPr>
      <t xml:space="preserve">ᵢ × xᵢ) ≤ </t>
    </r>
    <r>
      <rPr>
        <sz val="10"/>
        <rFont val="Noto Sans CJK KR"/>
        <family val="2"/>
      </rPr>
      <t xml:space="preserve">예산     ② </t>
    </r>
    <r>
      <rPr>
        <sz val="10"/>
        <rFont val="맑은 고딕"/>
        <family val="0"/>
        <charset val="1"/>
      </rPr>
      <t xml:space="preserve">0 ≤ xᵢ ≤ </t>
    </r>
    <r>
      <rPr>
        <sz val="10"/>
        <rFont val="Noto Sans CJK KR"/>
        <family val="2"/>
      </rPr>
      <t xml:space="preserve">대상시설수</t>
    </r>
    <r>
      <rPr>
        <sz val="10"/>
        <rFont val="맑은 고딕"/>
        <family val="0"/>
        <charset val="1"/>
      </rPr>
      <t xml:space="preserve">ᵢ</t>
    </r>
  </si>
  <si>
    <r>
      <rPr>
        <sz val="10"/>
        <rFont val="Noto Sans CJK KR"/>
        <family val="2"/>
      </rPr>
      <t xml:space="preserve">• 본 템플릿은 </t>
    </r>
    <r>
      <rPr>
        <sz val="10"/>
        <rFont val="맑은 고딕"/>
        <family val="0"/>
        <charset val="1"/>
      </rPr>
      <t xml:space="preserve">Solver </t>
    </r>
    <r>
      <rPr>
        <sz val="10"/>
        <rFont val="Noto Sans CJK KR"/>
        <family val="2"/>
      </rPr>
      <t xml:space="preserve">없이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KR"/>
        <family val="2"/>
      </rPr>
      <t xml:space="preserve">사용자 수동 배분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KR"/>
        <family val="2"/>
      </rPr>
      <t xml:space="preserve">자동 집계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KR"/>
        <family val="2"/>
      </rPr>
      <t xml:space="preserve">방식입니다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KR"/>
        <family val="2"/>
      </rPr>
      <t xml:space="preserve">비용효율성</t>
    </r>
    <r>
      <rPr>
        <sz val="10"/>
        <rFont val="맑은 고딕"/>
        <family val="0"/>
        <charset val="1"/>
      </rPr>
      <t xml:space="preserve">(=</t>
    </r>
    <r>
      <rPr>
        <sz val="10"/>
        <rFont val="Noto Sans CJK KR"/>
        <family val="2"/>
      </rPr>
      <t xml:space="preserve">우선순위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KR"/>
        <family val="2"/>
      </rPr>
      <t xml:space="preserve">단위비용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KR"/>
        <family val="2"/>
      </rPr>
      <t xml:space="preserve">열이 높은 카테고리부터 배분하면 </t>
    </r>
    <r>
      <rPr>
        <sz val="10"/>
        <rFont val="맑은 고딕"/>
        <family val="0"/>
        <charset val="1"/>
      </rPr>
      <t xml:space="preserve">greedy </t>
    </r>
    <r>
      <rPr>
        <sz val="10"/>
        <rFont val="Noto Sans CJK KR"/>
        <family val="2"/>
      </rPr>
      <t xml:space="preserve">근사해가 됩니다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</si>
  <si>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1"/>
        <rFont val="맑은 고딕"/>
        <family val="0"/>
        <charset val="1"/>
      </rPr>
      <t xml:space="preserve">[</t>
    </r>
    <r>
      <rPr>
        <b val="true"/>
        <sz val="11"/>
        <rFont val="Noto Sans CJK KR"/>
        <family val="2"/>
      </rPr>
      <t xml:space="preserve">작성 순서</t>
    </r>
    <r>
      <rPr>
        <b val="true"/>
        <sz val="11"/>
        <rFont val="맑은 고딕"/>
        <family val="0"/>
        <charset val="1"/>
      </rPr>
      <t xml:space="preserve">]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</si>
  <si>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oto Sans CJK KR"/>
        <family val="2"/>
      </rPr>
      <t xml:space="preserve">개입</t>
    </r>
    <r>
      <rPr>
        <sz val="10"/>
        <rFont val="맑은 고딕"/>
        <family val="0"/>
        <charset val="1"/>
      </rPr>
      <t xml:space="preserve">_</t>
    </r>
    <r>
      <rPr>
        <sz val="10"/>
        <rFont val="Noto Sans CJK KR"/>
        <family val="2"/>
      </rPr>
      <t xml:space="preserve">파라미터 시트에서 각 카테고리의 단위비용</t>
    </r>
    <r>
      <rPr>
        <sz val="10"/>
        <rFont val="맑은 고딕"/>
        <family val="0"/>
        <charset val="1"/>
      </rPr>
      <t xml:space="preserve">(C</t>
    </r>
    <r>
      <rPr>
        <sz val="10"/>
        <rFont val="Noto Sans CJK KR"/>
        <family val="2"/>
      </rPr>
      <t xml:space="preserve">열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KR"/>
        <family val="2"/>
      </rPr>
      <t xml:space="preserve">과 우선순위</t>
    </r>
    <r>
      <rPr>
        <sz val="10"/>
        <rFont val="맑은 고딕"/>
        <family val="0"/>
        <charset val="1"/>
      </rPr>
      <t xml:space="preserve">(D</t>
    </r>
    <r>
      <rPr>
        <sz val="10"/>
        <rFont val="Noto Sans CJK KR"/>
        <family val="2"/>
      </rPr>
      <t xml:space="preserve">열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KR"/>
        <family val="2"/>
      </rPr>
      <t xml:space="preserve">를 입력</t>
    </r>
  </si>
  <si>
    <r>
      <rPr>
        <sz val="10"/>
        <rFont val="맑은 고딕"/>
        <family val="0"/>
        <charset val="1"/>
      </rPr>
      <t xml:space="preserve">2. </t>
    </r>
    <r>
      <rPr>
        <sz val="10"/>
        <rFont val="Noto Sans CJK KR"/>
        <family val="2"/>
      </rPr>
      <t xml:space="preserve">시나리오</t>
    </r>
    <r>
      <rPr>
        <sz val="10"/>
        <rFont val="맑은 고딕"/>
        <family val="0"/>
        <charset val="1"/>
      </rPr>
      <t xml:space="preserve">_</t>
    </r>
    <r>
      <rPr>
        <sz val="10"/>
        <rFont val="Noto Sans CJK KR"/>
        <family val="2"/>
      </rPr>
      <t xml:space="preserve">소규모 시트에서 상단 예산</t>
    </r>
    <r>
      <rPr>
        <sz val="10"/>
        <rFont val="맑은 고딕"/>
        <family val="0"/>
        <charset val="1"/>
      </rPr>
      <t xml:space="preserve">(C2 </t>
    </r>
    <r>
      <rPr>
        <sz val="10"/>
        <rFont val="Noto Sans CJK KR"/>
        <family val="2"/>
      </rPr>
      <t xml:space="preserve">셀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KR"/>
        <family val="2"/>
      </rPr>
      <t xml:space="preserve">과 각 카테고리별 할당 시설 수</t>
    </r>
    <r>
      <rPr>
        <sz val="10"/>
        <rFont val="맑은 고딕"/>
        <family val="0"/>
        <charset val="1"/>
      </rPr>
      <t xml:space="preserve">(E</t>
    </r>
    <r>
      <rPr>
        <sz val="10"/>
        <rFont val="Noto Sans CJK KR"/>
        <family val="2"/>
      </rPr>
      <t xml:space="preserve">열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KR"/>
        <family val="2"/>
      </rPr>
      <t xml:space="preserve">를 입력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</si>
  <si>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KR"/>
        <family val="2"/>
      </rPr>
      <t xml:space="preserve">시나리오</t>
    </r>
    <r>
      <rPr>
        <sz val="10"/>
        <rFont val="맑은 고딕"/>
        <family val="0"/>
        <charset val="1"/>
      </rPr>
      <t xml:space="preserve">_</t>
    </r>
    <r>
      <rPr>
        <sz val="10"/>
        <rFont val="Noto Sans CJK KR"/>
        <family val="2"/>
      </rPr>
      <t xml:space="preserve">중규모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KR"/>
        <family val="2"/>
      </rPr>
      <t xml:space="preserve">시나리오</t>
    </r>
    <r>
      <rPr>
        <sz val="10"/>
        <rFont val="맑은 고딕"/>
        <family val="0"/>
        <charset val="1"/>
      </rPr>
      <t xml:space="preserve">_</t>
    </r>
    <r>
      <rPr>
        <sz val="10"/>
        <rFont val="Noto Sans CJK KR"/>
        <family val="2"/>
      </rPr>
      <t xml:space="preserve">확장 동일하게 진행</t>
    </r>
  </si>
  <si>
    <r>
      <rPr>
        <sz val="10"/>
        <rFont val="맑은 고딕"/>
        <family val="0"/>
        <charset val="1"/>
      </rPr>
      <t xml:space="preserve">4. </t>
    </r>
    <r>
      <rPr>
        <sz val="10"/>
        <rFont val="Noto Sans CJK KR"/>
        <family val="2"/>
      </rPr>
      <t xml:space="preserve">각 시나리오 하단의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KR"/>
        <family val="2"/>
      </rPr>
      <t xml:space="preserve">예산 사용률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KR"/>
        <family val="2"/>
      </rPr>
      <t xml:space="preserve">이 </t>
    </r>
    <r>
      <rPr>
        <sz val="10"/>
        <rFont val="맑은 고딕"/>
        <family val="0"/>
        <charset val="1"/>
      </rPr>
      <t xml:space="preserve">100%</t>
    </r>
    <r>
      <rPr>
        <sz val="10"/>
        <rFont val="Noto Sans CJK KR"/>
        <family val="2"/>
      </rPr>
      <t xml:space="preserve">를 넘지 않도록 조정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KR"/>
        <family val="2"/>
      </rPr>
      <t xml:space="preserve">넘으면 빨간 경고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</si>
  <si>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5. </t>
    </r>
    <r>
      <rPr>
        <sz val="10"/>
        <rFont val="Noto Sans CJK KR"/>
        <family val="2"/>
      </rPr>
      <t xml:space="preserve">슬라이드</t>
    </r>
    <r>
      <rPr>
        <sz val="10"/>
        <rFont val="맑은 고딕"/>
        <family val="0"/>
        <charset val="1"/>
      </rPr>
      <t xml:space="preserve">13_</t>
    </r>
    <r>
      <rPr>
        <sz val="10"/>
        <rFont val="Noto Sans CJK KR"/>
        <family val="2"/>
      </rPr>
      <t xml:space="preserve">요약 시트에서 </t>
    </r>
    <r>
      <rPr>
        <sz val="10"/>
        <rFont val="맑은 고딕"/>
        <family val="0"/>
        <charset val="1"/>
      </rPr>
      <t xml:space="preserve">TBD </t>
    </r>
    <r>
      <rPr>
        <sz val="10"/>
        <rFont val="Noto Sans CJK KR"/>
        <family val="2"/>
      </rPr>
      <t xml:space="preserve">치환 문구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KR"/>
        <family val="2"/>
      </rPr>
      <t xml:space="preserve">개 복사 → 슬라이드 </t>
    </r>
    <r>
      <rPr>
        <sz val="10"/>
        <rFont val="맑은 고딕"/>
        <family val="0"/>
        <charset val="1"/>
      </rPr>
      <t xml:space="preserve">13 </t>
    </r>
    <r>
      <rPr>
        <sz val="10"/>
        <rFont val="Noto Sans CJK KR"/>
        <family val="2"/>
      </rPr>
      <t xml:space="preserve">반영</t>
    </r>
  </si>
  <si>
    <r>
      <rPr>
        <b val="true"/>
        <sz val="11"/>
        <rFont val="맑은 고딕"/>
        <family val="0"/>
        <charset val="1"/>
      </rPr>
      <t xml:space="preserve">[</t>
    </r>
    <r>
      <rPr>
        <b val="true"/>
        <sz val="11"/>
        <rFont val="Noto Sans CJK KR"/>
        <family val="2"/>
      </rPr>
      <t xml:space="preserve">단위비용 입력 가이드</t>
    </r>
    <r>
      <rPr>
        <b val="true"/>
        <sz val="11"/>
        <rFont val="맑은 고딕"/>
        <family val="0"/>
        <charset val="1"/>
      </rPr>
      <t xml:space="preserve">]</t>
    </r>
  </si>
  <si>
    <r>
      <rPr>
        <sz val="10"/>
        <rFont val="Noto Sans CJK KR"/>
        <family val="2"/>
      </rPr>
      <t xml:space="preserve">• 단위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KR"/>
        <family val="2"/>
      </rPr>
      <t xml:space="preserve">만원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KR"/>
        <family val="2"/>
      </rPr>
      <t xml:space="preserve">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KR"/>
        <family val="2"/>
      </rPr>
      <t xml:space="preserve">또는 세트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KR"/>
        <family val="2"/>
      </rPr>
      <t xml:space="preserve">나라장터</t>
    </r>
    <r>
      <rPr>
        <sz val="10"/>
        <rFont val="맑은 고딕"/>
        <family val="0"/>
        <charset val="1"/>
      </rPr>
      <t xml:space="preserve">(shopping.g2b.go.kr) </t>
    </r>
    <r>
      <rPr>
        <sz val="10"/>
        <rFont val="Noto Sans CJK KR"/>
        <family val="2"/>
      </rPr>
      <t xml:space="preserve">또는 각 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KR"/>
        <family val="2"/>
      </rPr>
      <t xml:space="preserve">도 교육청 물품단가계약 조회 권장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</si>
  <si>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KR"/>
        <family val="2"/>
      </rPr>
      <t xml:space="preserve">• 학교안전공단</t>
    </r>
    <r>
      <rPr>
        <sz val="10"/>
        <rFont val="맑은 고딕"/>
        <family val="0"/>
        <charset val="1"/>
      </rPr>
      <t xml:space="preserve">(www.schoolsafe.or.kr) </t>
    </r>
    <r>
      <rPr>
        <sz val="10"/>
        <rFont val="Noto Sans CJK KR"/>
        <family val="2"/>
      </rPr>
      <t xml:space="preserve">견적 요청 양식 활용 가능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</si>
  <si>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KR"/>
        <family val="2"/>
      </rPr>
      <t xml:space="preserve">• 참고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KR"/>
        <family val="2"/>
      </rPr>
      <t xml:space="preserve">단일 학교 기준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KR"/>
        <family val="2"/>
      </rPr>
      <t xml:space="preserve">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KR"/>
        <family val="2"/>
      </rPr>
      <t xml:space="preserve">또는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KR"/>
        <family val="2"/>
      </rPr>
      <t xml:space="preserve">세트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KR"/>
        <family val="2"/>
      </rPr>
      <t xml:space="preserve">설치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KR"/>
        <family val="2"/>
      </rPr>
      <t xml:space="preserve">교체 비용을 넣으시면 됩니다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</si>
  <si>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1"/>
        <rFont val="맑은 고딕"/>
        <family val="0"/>
        <charset val="1"/>
      </rPr>
      <t xml:space="preserve">[</t>
    </r>
    <r>
      <rPr>
        <b val="true"/>
        <sz val="11"/>
        <rFont val="Noto Sans CJK KR"/>
        <family val="2"/>
      </rPr>
      <t xml:space="preserve">우선순위 입력 가이드 </t>
    </r>
    <r>
      <rPr>
        <b val="true"/>
        <sz val="11"/>
        <rFont val="맑은 고딕"/>
        <family val="0"/>
        <charset val="1"/>
      </rPr>
      <t xml:space="preserve">(1~10)]</t>
    </r>
  </si>
  <si>
    <r>
      <rPr>
        <sz val="10"/>
        <rFont val="맑은 고딕"/>
        <family val="0"/>
        <charset val="1"/>
      </rPr>
      <t xml:space="preserve">• 10 : </t>
    </r>
    <r>
      <rPr>
        <sz val="10"/>
        <rFont val="Noto Sans CJK KR"/>
        <family val="2"/>
      </rPr>
      <t xml:space="preserve">생명 직결 사고 예방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KR"/>
        <family val="2"/>
      </rPr>
      <t xml:space="preserve">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KR"/>
        <family val="2"/>
      </rPr>
      <t xml:space="preserve">가스누출감지기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KR"/>
        <family val="2"/>
      </rPr>
      <t xml:space="preserve">비상샤워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</si>
  <si>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•  7~9 : </t>
    </r>
    <r>
      <rPr>
        <sz val="10"/>
        <rFont val="Noto Sans CJK KR"/>
        <family val="2"/>
      </rPr>
      <t xml:space="preserve">대형 사고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KR"/>
        <family val="2"/>
      </rPr>
      <t xml:space="preserve">중대재해 예방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KR"/>
        <family val="2"/>
      </rPr>
      <t xml:space="preserve">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KR"/>
        <family val="2"/>
      </rPr>
      <t xml:space="preserve">흄후드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KR"/>
        <family val="2"/>
      </rPr>
      <t xml:space="preserve">가스차단밸브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KR"/>
        <family val="2"/>
      </rPr>
      <t xml:space="preserve">국소배기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</si>
  <si>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•  4~6 : </t>
    </r>
    <r>
      <rPr>
        <sz val="10"/>
        <rFont val="Noto Sans CJK KR"/>
        <family val="2"/>
      </rPr>
      <t xml:space="preserve">중간 위험 저감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KR"/>
        <family val="2"/>
      </rPr>
      <t xml:space="preserve">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KR"/>
        <family val="2"/>
      </rPr>
      <t xml:space="preserve">시약장 잠금형</t>
    </r>
    <r>
      <rPr>
        <sz val="10"/>
        <rFont val="맑은 고딕"/>
        <family val="0"/>
        <charset val="1"/>
      </rPr>
      <t xml:space="preserve">, PPE </t>
    </r>
    <r>
      <rPr>
        <sz val="10"/>
        <rFont val="Noto Sans CJK KR"/>
        <family val="2"/>
      </rPr>
      <t xml:space="preserve">세트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KR"/>
        <family val="2"/>
      </rPr>
      <t xml:space="preserve">폐액용기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</si>
  <si>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•  1~3 : </t>
    </r>
    <r>
      <rPr>
        <sz val="10"/>
        <rFont val="Noto Sans CJK KR"/>
        <family val="2"/>
      </rPr>
      <t xml:space="preserve">관리적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KR"/>
        <family val="2"/>
      </rPr>
      <t xml:space="preserve">법정 의무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KR"/>
        <family val="2"/>
      </rPr>
      <t xml:space="preserve">예</t>
    </r>
    <r>
      <rPr>
        <sz val="10"/>
        <rFont val="맑은 고딕"/>
        <family val="0"/>
        <charset val="1"/>
      </rPr>
      <t xml:space="preserve">: MSDS </t>
    </r>
    <r>
      <rPr>
        <sz val="10"/>
        <rFont val="Noto Sans CJK KR"/>
        <family val="2"/>
      </rPr>
      <t xml:space="preserve">비치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KR"/>
        <family val="2"/>
      </rPr>
      <t xml:space="preserve">안전수칙 게시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</si>
  <si>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KR"/>
        <family val="2"/>
      </rPr>
      <t xml:space="preserve">※ 학교보건법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KR"/>
        <family val="2"/>
      </rPr>
      <t xml:space="preserve">고등학교 안전점검 지침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KR"/>
        <family val="2"/>
      </rPr>
      <t xml:space="preserve">산업안전보건법상 중대재해 분류를 근거로 사용자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KR"/>
        <family val="2"/>
      </rPr>
      <t xml:space="preserve">교사 본인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KR"/>
        <family val="2"/>
      </rPr>
      <t xml:space="preserve">가 판단하여 입력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</si>
  <si>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1"/>
        <rFont val="맑은 고딕"/>
        <family val="0"/>
        <charset val="1"/>
      </rPr>
      <t xml:space="preserve">[</t>
    </r>
    <r>
      <rPr>
        <b val="true"/>
        <sz val="11"/>
        <rFont val="Noto Sans CJK KR"/>
        <family val="2"/>
      </rPr>
      <t xml:space="preserve">대상 시설 수 정의</t>
    </r>
    <r>
      <rPr>
        <b val="true"/>
        <sz val="11"/>
        <rFont val="맑은 고딕"/>
        <family val="0"/>
        <charset val="1"/>
      </rPr>
      <t xml:space="preserve">]</t>
    </r>
  </si>
  <si>
    <r>
      <rPr>
        <sz val="10"/>
        <rFont val="Noto Sans CJK KR"/>
        <family val="2"/>
      </rPr>
      <t xml:space="preserve">• 소규모 </t>
    </r>
    <r>
      <rPr>
        <sz val="10"/>
        <rFont val="맑은 고딕"/>
        <family val="0"/>
        <charset val="1"/>
      </rPr>
      <t xml:space="preserve">= S1(</t>
    </r>
    <r>
      <rPr>
        <sz val="10"/>
        <rFont val="Noto Sans CJK KR"/>
        <family val="2"/>
      </rPr>
      <t xml:space="preserve">즉시 개입군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KR"/>
        <family val="2"/>
      </rPr>
      <t xml:space="preserve">상위 </t>
    </r>
    <r>
      <rPr>
        <sz val="10"/>
        <rFont val="맑은 고딕"/>
        <family val="0"/>
        <charset val="1"/>
      </rPr>
      <t xml:space="preserve">100</t>
    </r>
    <r>
      <rPr>
        <sz val="10"/>
        <rFont val="Noto Sans CJK KR"/>
        <family val="2"/>
      </rPr>
      <t xml:space="preserve">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KR"/>
        <family val="2"/>
      </rPr>
      <t xml:space="preserve">중규모 </t>
    </r>
    <r>
      <rPr>
        <sz val="10"/>
        <rFont val="맑은 고딕"/>
        <family val="0"/>
        <charset val="1"/>
      </rPr>
      <t xml:space="preserve">= S1 </t>
    </r>
    <r>
      <rPr>
        <sz val="10"/>
        <rFont val="Noto Sans CJK KR"/>
        <family val="2"/>
      </rPr>
      <t xml:space="preserve">전체 </t>
    </r>
    <r>
      <rPr>
        <sz val="10"/>
        <rFont val="맑은 고딕"/>
        <family val="0"/>
        <charset val="1"/>
      </rPr>
      <t xml:space="preserve">526</t>
    </r>
    <r>
      <rPr>
        <sz val="10"/>
        <rFont val="Noto Sans CJK KR"/>
        <family val="2"/>
      </rPr>
      <t xml:space="preserve">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KR"/>
        <family val="2"/>
      </rPr>
      <t xml:space="preserve">확장 </t>
    </r>
    <r>
      <rPr>
        <sz val="10"/>
        <rFont val="맑은 고딕"/>
        <family val="0"/>
        <charset val="1"/>
      </rPr>
      <t xml:space="preserve">= S1+S2 </t>
    </r>
    <r>
      <rPr>
        <sz val="10"/>
        <rFont val="Noto Sans CJK KR"/>
        <family val="2"/>
      </rPr>
      <t xml:space="preserve">합산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KR"/>
        <family val="2"/>
      </rPr>
      <t xml:space="preserve">전국 기준</t>
    </r>
    <r>
      <rPr>
        <sz val="10"/>
        <rFont val="맑은 고딕"/>
        <family val="0"/>
        <charset val="1"/>
      </rPr>
      <t xml:space="preserve">).</t>
    </r>
  </si>
  <si>
    <r>
      <rPr>
        <sz val="10"/>
        <rFont val="Noto Sans CJK KR"/>
        <family val="2"/>
      </rPr>
      <t xml:space="preserve">• 각 카테고리에서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KR"/>
        <family val="2"/>
      </rPr>
      <t xml:space="preserve">해당 개입이 필요한 학교 비율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KR"/>
        <family val="2"/>
      </rPr>
      <t xml:space="preserve">은 </t>
    </r>
    <r>
      <rPr>
        <sz val="10"/>
        <rFont val="맑은 고딕"/>
        <family val="0"/>
        <charset val="1"/>
      </rPr>
      <t xml:space="preserve">PoC </t>
    </r>
    <r>
      <rPr>
        <sz val="10"/>
        <rFont val="Noto Sans CJK KR"/>
        <family val="2"/>
      </rPr>
      <t xml:space="preserve">결과 부재율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KR"/>
        <family val="2"/>
      </rPr>
      <t xml:space="preserve">화학실</t>
    </r>
    <r>
      <rPr>
        <sz val="10"/>
        <rFont val="맑은 고딕"/>
        <family val="0"/>
        <charset val="1"/>
      </rPr>
      <t xml:space="preserve">: 9/24=37.5%, </t>
    </r>
    <r>
      <rPr>
        <sz val="10"/>
        <rFont val="Noto Sans CJK KR"/>
        <family val="2"/>
      </rPr>
      <t xml:space="preserve">물리실</t>
    </r>
    <r>
      <rPr>
        <sz val="10"/>
        <rFont val="맑은 고딕"/>
        <family val="0"/>
        <charset val="1"/>
      </rPr>
      <t xml:space="preserve">: 10/26=38.5%)</t>
    </r>
    <r>
      <rPr>
        <sz val="10"/>
        <rFont val="Noto Sans CJK KR"/>
        <family val="2"/>
      </rPr>
      <t xml:space="preserve">에서 약 </t>
    </r>
    <r>
      <rPr>
        <sz val="10"/>
        <rFont val="맑은 고딕"/>
        <family val="0"/>
        <charset val="1"/>
      </rPr>
      <t xml:space="preserve">30~50%</t>
    </r>
    <r>
      <rPr>
        <sz val="10"/>
        <rFont val="Noto Sans CJK KR"/>
        <family val="2"/>
      </rPr>
      <t xml:space="preserve">로 추정 가능하나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KR"/>
        <family val="2"/>
      </rPr>
      <t xml:space="preserve">사용자가 실제 교육청 자료 기반으로 입력 권장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</si>
  <si>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1"/>
        <rFont val="맑은 고딕"/>
        <family val="0"/>
        <charset val="1"/>
      </rPr>
      <t xml:space="preserve">[</t>
    </r>
    <r>
      <rPr>
        <b val="true"/>
        <sz val="11"/>
        <rFont val="Noto Sans CJK KR"/>
        <family val="2"/>
      </rPr>
      <t xml:space="preserve">주의</t>
    </r>
    <r>
      <rPr>
        <b val="true"/>
        <sz val="11"/>
        <rFont val="맑은 고딕"/>
        <family val="0"/>
        <charset val="1"/>
      </rPr>
      <t xml:space="preserve">]</t>
    </r>
  </si>
  <si>
    <r>
      <rPr>
        <sz val="10"/>
        <rFont val="Noto Sans CJK KR"/>
        <family val="2"/>
      </rPr>
      <t xml:space="preserve">• 본 파일의 단위비용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KR"/>
        <family val="2"/>
      </rPr>
      <t xml:space="preserve">우선순위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KR"/>
        <family val="2"/>
      </rPr>
      <t xml:space="preserve">대상시설수는 모두 사용자 입력값입니다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KR"/>
        <family val="2"/>
      </rPr>
      <t xml:space="preserve">수치 근거가 확보되지 않은 상태에서는 </t>
    </r>
    <r>
      <rPr>
        <sz val="10"/>
        <rFont val="맑은 고딕"/>
        <family val="0"/>
        <charset val="1"/>
      </rPr>
      <t xml:space="preserve">TBD</t>
    </r>
    <r>
      <rPr>
        <sz val="10"/>
        <rFont val="Noto Sans CJK KR"/>
        <family val="2"/>
      </rPr>
      <t xml:space="preserve">로 유지하시고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KR"/>
        <family val="2"/>
      </rPr>
      <t xml:space="preserve">확정 후 입력하시기 바랍니다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</si>
  <si>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KR"/>
        <family val="2"/>
      </rPr>
      <t xml:space="preserve">• 슬라이드 </t>
    </r>
    <r>
      <rPr>
        <sz val="10"/>
        <rFont val="맑은 고딕"/>
        <family val="0"/>
        <charset val="1"/>
      </rPr>
      <t xml:space="preserve">13</t>
    </r>
    <r>
      <rPr>
        <sz val="10"/>
        <rFont val="Noto Sans CJK KR"/>
        <family val="2"/>
      </rPr>
      <t xml:space="preserve">의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KR"/>
        <family val="2"/>
      </rPr>
      <t xml:space="preserve">위험 감소 </t>
    </r>
    <r>
      <rPr>
        <sz val="10"/>
        <rFont val="맑은 고딕"/>
        <family val="0"/>
        <charset val="1"/>
      </rPr>
      <t xml:space="preserve">Y%'</t>
    </r>
    <r>
      <rPr>
        <sz val="10"/>
        <rFont val="Noto Sans CJK KR"/>
        <family val="2"/>
      </rPr>
      <t xml:space="preserve">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KR"/>
        <family val="2"/>
      </rPr>
      <t xml:space="preserve">투입 시 감소량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KR"/>
        <family val="2"/>
      </rPr>
      <t xml:space="preserve">전국 잠재 위험량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KR"/>
        <family val="2"/>
      </rPr>
      <t xml:space="preserve">으로 정의됩니다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KR"/>
        <family val="2"/>
      </rPr>
      <t xml:space="preserve">본 템플릿에서는 </t>
    </r>
    <r>
      <rPr>
        <sz val="10"/>
        <rFont val="맑은 고딕"/>
        <family val="0"/>
        <charset val="1"/>
      </rPr>
      <t xml:space="preserve">'Σ(</t>
    </r>
    <r>
      <rPr>
        <sz val="10"/>
        <rFont val="Noto Sans CJK KR"/>
        <family val="2"/>
      </rPr>
      <t xml:space="preserve">우선순위</t>
    </r>
    <r>
      <rPr>
        <sz val="10"/>
        <rFont val="맑은 고딕"/>
        <family val="0"/>
        <charset val="1"/>
      </rPr>
      <t xml:space="preserve">×</t>
    </r>
    <r>
      <rPr>
        <sz val="10"/>
        <rFont val="Noto Sans CJK KR"/>
        <family val="2"/>
      </rPr>
      <t xml:space="preserve">투입수</t>
    </r>
    <r>
      <rPr>
        <sz val="10"/>
        <rFont val="맑은 고딕"/>
        <family val="0"/>
        <charset val="1"/>
      </rPr>
      <t xml:space="preserve">) / Σ(</t>
    </r>
    <r>
      <rPr>
        <sz val="10"/>
        <rFont val="Noto Sans CJK KR"/>
        <family val="2"/>
      </rPr>
      <t xml:space="preserve">우선순위</t>
    </r>
    <r>
      <rPr>
        <sz val="10"/>
        <rFont val="맑은 고딕"/>
        <family val="0"/>
        <charset val="1"/>
      </rPr>
      <t xml:space="preserve">×</t>
    </r>
    <r>
      <rPr>
        <sz val="10"/>
        <rFont val="Noto Sans CJK KR"/>
        <family val="2"/>
      </rPr>
      <t xml:space="preserve">전체대상수</t>
    </r>
    <r>
      <rPr>
        <sz val="10"/>
        <rFont val="맑은 고딕"/>
        <family val="0"/>
        <charset val="1"/>
      </rPr>
      <t xml:space="preserve">)'</t>
    </r>
    <r>
      <rPr>
        <sz val="10"/>
        <rFont val="Noto Sans CJK KR"/>
        <family val="2"/>
      </rPr>
      <t xml:space="preserve">로 근사</t>
    </r>
    <r>
      <rPr>
        <sz val="10"/>
        <rFont val="맑은 고딕"/>
        <family val="0"/>
        <charset val="1"/>
      </rPr>
      <t xml:space="preserve">.</t>
    </r>
  </si>
  <si>
    <t xml:space="preserve">개입 카테고리 파라미터</t>
  </si>
  <si>
    <r>
      <rPr>
        <sz val="9"/>
        <color rgb="FF555555"/>
        <rFont val="맑은 고딕"/>
        <family val="0"/>
        <charset val="1"/>
      </rPr>
      <t xml:space="preserve">※ '</t>
    </r>
    <r>
      <rPr>
        <sz val="9"/>
        <color rgb="FF555555"/>
        <rFont val="Noto Sans CJK KR"/>
        <family val="2"/>
      </rPr>
      <t xml:space="preserve">단위비용</t>
    </r>
    <r>
      <rPr>
        <sz val="9"/>
        <color rgb="FF555555"/>
        <rFont val="맑은 고딕"/>
        <family val="0"/>
        <charset val="1"/>
      </rPr>
      <t xml:space="preserve">'(C</t>
    </r>
    <r>
      <rPr>
        <sz val="9"/>
        <color rgb="FF555555"/>
        <rFont val="Noto Sans CJK KR"/>
        <family val="2"/>
      </rPr>
      <t xml:space="preserve">열</t>
    </r>
    <r>
      <rPr>
        <sz val="9"/>
        <color rgb="FF555555"/>
        <rFont val="맑은 고딕"/>
        <family val="0"/>
        <charset val="1"/>
      </rPr>
      <t xml:space="preserve">)</t>
    </r>
    <r>
      <rPr>
        <sz val="9"/>
        <color rgb="FF555555"/>
        <rFont val="Noto Sans CJK KR"/>
        <family val="2"/>
      </rPr>
      <t xml:space="preserve">과 </t>
    </r>
    <r>
      <rPr>
        <sz val="9"/>
        <color rgb="FF555555"/>
        <rFont val="맑은 고딕"/>
        <family val="0"/>
        <charset val="1"/>
      </rPr>
      <t xml:space="preserve">'</t>
    </r>
    <r>
      <rPr>
        <sz val="9"/>
        <color rgb="FF555555"/>
        <rFont val="Noto Sans CJK KR"/>
        <family val="2"/>
      </rPr>
      <t xml:space="preserve">우선순위</t>
    </r>
    <r>
      <rPr>
        <sz val="9"/>
        <color rgb="FF555555"/>
        <rFont val="맑은 고딕"/>
        <family val="0"/>
        <charset val="1"/>
      </rPr>
      <t xml:space="preserve">'(D</t>
    </r>
    <r>
      <rPr>
        <sz val="9"/>
        <color rgb="FF555555"/>
        <rFont val="Noto Sans CJK KR"/>
        <family val="2"/>
      </rPr>
      <t xml:space="preserve">열</t>
    </r>
    <r>
      <rPr>
        <sz val="9"/>
        <color rgb="FF555555"/>
        <rFont val="맑은 고딕"/>
        <family val="0"/>
        <charset val="1"/>
      </rPr>
      <t xml:space="preserve">)</t>
    </r>
    <r>
      <rPr>
        <sz val="9"/>
        <color rgb="FF555555"/>
        <rFont val="Noto Sans CJK KR"/>
        <family val="2"/>
      </rPr>
      <t xml:space="preserve">를 입력하세요</t>
    </r>
    <r>
      <rPr>
        <sz val="9"/>
        <color rgb="FF555555"/>
        <rFont val="맑은 고딕"/>
        <family val="0"/>
        <charset val="1"/>
      </rPr>
      <t xml:space="preserve">. </t>
    </r>
    <r>
      <rPr>
        <sz val="9"/>
        <color rgb="FF555555"/>
        <rFont val="Noto Sans CJK KR"/>
        <family val="2"/>
      </rPr>
      <t xml:space="preserve">나머지는 자동 계산됩니다</t>
    </r>
    <r>
      <rPr>
        <sz val="9"/>
        <color rgb="FF555555"/>
        <rFont val="맑은 고딕"/>
        <family val="0"/>
        <charset val="1"/>
      </rPr>
      <t xml:space="preserve">.</t>
    </r>
  </si>
  <si>
    <t xml:space="preserve">#</t>
  </si>
  <si>
    <t xml:space="preserve">카테고리</t>
  </si>
  <si>
    <r>
      <rPr>
        <b val="true"/>
        <sz val="11"/>
        <color rgb="FFFFFFFF"/>
        <rFont val="Noto Sans CJK KR"/>
        <family val="2"/>
      </rPr>
      <t xml:space="preserve">단위비용</t>
    </r>
    <r>
      <rPr>
        <b val="true"/>
        <sz val="11"/>
        <color rgb="FFFFFFFF"/>
        <rFont val="맑은 고딕"/>
        <family val="0"/>
        <charset val="1"/>
      </rPr>
      <t xml:space="preserve">
(</t>
    </r>
    <r>
      <rPr>
        <b val="true"/>
        <sz val="11"/>
        <color rgb="FFFFFFFF"/>
        <rFont val="Noto Sans CJK KR"/>
        <family val="2"/>
      </rPr>
      <t xml:space="preserve">만원</t>
    </r>
    <r>
      <rPr>
        <b val="true"/>
        <sz val="11"/>
        <color rgb="FFFFFFFF"/>
        <rFont val="맑은 고딕"/>
        <family val="0"/>
        <charset val="1"/>
      </rPr>
      <t xml:space="preserve">/</t>
    </r>
    <r>
      <rPr>
        <b val="true"/>
        <sz val="11"/>
        <color rgb="FFFFFFFF"/>
        <rFont val="Noto Sans CJK KR"/>
        <family val="2"/>
      </rPr>
      <t xml:space="preserve">개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</si>
  <si>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Noto Sans CJK KR"/>
        <family val="2"/>
      </rPr>
      <t xml:space="preserve">우선순위</t>
    </r>
    <r>
      <rPr>
        <b val="true"/>
        <sz val="11"/>
        <color rgb="FFFFFFFF"/>
        <rFont val="맑은 고딕"/>
        <family val="0"/>
        <charset val="1"/>
      </rPr>
      <t xml:space="preserve">
(1-10)</t>
    </r>
  </si>
  <si>
    <r>
      <rPr>
        <b val="true"/>
        <sz val="11"/>
        <color rgb="FFFFFFFF"/>
        <rFont val="Noto Sans CJK KR"/>
        <family val="2"/>
      </rPr>
      <t xml:space="preserve">비용효율성</t>
    </r>
    <r>
      <rPr>
        <b val="true"/>
        <sz val="11"/>
        <color rgb="FFFFFFFF"/>
        <rFont val="맑은 고딕"/>
        <family val="0"/>
        <charset val="1"/>
      </rPr>
      <t xml:space="preserve">
(</t>
    </r>
    <r>
      <rPr>
        <b val="true"/>
        <sz val="11"/>
        <color rgb="FFFFFFFF"/>
        <rFont val="Noto Sans CJK KR"/>
        <family val="2"/>
      </rPr>
      <t xml:space="preserve">우선순위</t>
    </r>
    <r>
      <rPr>
        <b val="true"/>
        <sz val="11"/>
        <color rgb="FFFFFFFF"/>
        <rFont val="맑은 고딕"/>
        <family val="0"/>
        <charset val="1"/>
      </rPr>
      <t xml:space="preserve">÷</t>
    </r>
    <r>
      <rPr>
        <b val="true"/>
        <sz val="11"/>
        <color rgb="FFFFFFFF"/>
        <rFont val="Noto Sans CJK KR"/>
        <family val="2"/>
      </rPr>
      <t xml:space="preserve">비용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</si>
  <si>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설명</t>
  </si>
  <si>
    <r>
      <rPr>
        <b val="true"/>
        <sz val="11"/>
        <rFont val="Noto Sans CJK KR"/>
        <family val="2"/>
      </rPr>
      <t xml:space="preserve">비상샤워</t>
    </r>
    <r>
      <rPr>
        <b val="true"/>
        <sz val="11"/>
        <rFont val="맑은 고딕"/>
        <family val="0"/>
        <charset val="1"/>
      </rPr>
      <t xml:space="preserve">·</t>
    </r>
    <r>
      <rPr>
        <b val="true"/>
        <sz val="11"/>
        <rFont val="Noto Sans CJK KR"/>
        <family val="2"/>
      </rPr>
      <t xml:space="preserve">세안기 통합형</t>
    </r>
  </si>
  <si>
    <t xml:space="preserve">비상 대응</t>
  </si>
  <si>
    <r>
      <rPr>
        <sz val="9"/>
        <color rgb="FF555555"/>
        <rFont val="Noto Sans CJK KR"/>
        <family val="2"/>
      </rPr>
      <t xml:space="preserve">화학실</t>
    </r>
    <r>
      <rPr>
        <sz val="9"/>
        <color rgb="FF555555"/>
        <rFont val="맑은 고딕"/>
        <family val="0"/>
        <charset val="1"/>
      </rPr>
      <t xml:space="preserve">·</t>
    </r>
    <r>
      <rPr>
        <sz val="9"/>
        <color rgb="FF555555"/>
        <rFont val="Noto Sans CJK KR"/>
        <family val="2"/>
      </rPr>
      <t xml:space="preserve">생명과학실 필수</t>
    </r>
  </si>
  <si>
    <t xml:space="preserve">가스차단밸브</t>
  </si>
  <si>
    <r>
      <rPr>
        <sz val="9"/>
        <color rgb="FF555555"/>
        <rFont val="맑은 고딕"/>
        <family val="0"/>
        <charset val="1"/>
      </rPr>
      <t xml:space="preserve">LPG·</t>
    </r>
    <r>
      <rPr>
        <sz val="9"/>
        <color rgb="FF555555"/>
        <rFont val="Noto Sans CJK KR"/>
        <family val="2"/>
      </rPr>
      <t xml:space="preserve">도시가스 사용 공간</t>
    </r>
  </si>
  <si>
    <r>
      <rPr>
        <b val="true"/>
        <sz val="11"/>
        <rFont val="Noto Sans CJK KR"/>
        <family val="2"/>
      </rPr>
      <t xml:space="preserve">소화포</t>
    </r>
    <r>
      <rPr>
        <b val="true"/>
        <sz val="11"/>
        <rFont val="맑은 고딕"/>
        <family val="0"/>
        <charset val="1"/>
      </rPr>
      <t xml:space="preserve">·</t>
    </r>
    <r>
      <rPr>
        <b val="true"/>
        <sz val="11"/>
        <rFont val="Noto Sans CJK KR"/>
        <family val="2"/>
      </rPr>
      <t xml:space="preserve">응급처치함 세트</t>
    </r>
  </si>
  <si>
    <r>
      <rPr>
        <sz val="9"/>
        <color rgb="FF555555"/>
        <rFont val="Noto Sans CJK KR"/>
        <family val="2"/>
      </rPr>
      <t xml:space="preserve">소화포</t>
    </r>
    <r>
      <rPr>
        <sz val="9"/>
        <color rgb="FF555555"/>
        <rFont val="맑은 고딕"/>
        <family val="0"/>
        <charset val="1"/>
      </rPr>
      <t xml:space="preserve">·</t>
    </r>
    <r>
      <rPr>
        <sz val="9"/>
        <color rgb="FF555555"/>
        <rFont val="Noto Sans CJK KR"/>
        <family val="2"/>
      </rPr>
      <t xml:space="preserve">구급약품 일괄</t>
    </r>
  </si>
  <si>
    <r>
      <rPr>
        <b val="true"/>
        <sz val="11"/>
        <rFont val="Noto Sans CJK KR"/>
        <family val="2"/>
      </rPr>
      <t xml:space="preserve">흄후드 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Noto Sans CJK KR"/>
        <family val="2"/>
      </rPr>
      <t xml:space="preserve">신규</t>
    </r>
    <r>
      <rPr>
        <b val="true"/>
        <sz val="11"/>
        <rFont val="맑은 고딕"/>
        <family val="0"/>
        <charset val="1"/>
      </rPr>
      <t xml:space="preserve">/</t>
    </r>
    <r>
      <rPr>
        <b val="true"/>
        <sz val="11"/>
        <rFont val="Noto Sans CJK KR"/>
        <family val="2"/>
      </rPr>
      <t xml:space="preserve">교체</t>
    </r>
    <r>
      <rPr>
        <b val="true"/>
        <sz val="11"/>
        <rFont val="맑은 고딕"/>
        <family val="0"/>
        <charset val="1"/>
      </rPr>
      <t xml:space="preserve">)</t>
    </r>
  </si>
  <si>
    <r>
      <rPr>
        <sz val="11"/>
        <color theme="1"/>
        <rFont val="Noto Sans CJK KR"/>
        <family val="2"/>
      </rPr>
      <t xml:space="preserve">환기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KR"/>
        <family val="2"/>
      </rPr>
      <t xml:space="preserve">배기</t>
    </r>
  </si>
  <si>
    <t xml:space="preserve">시약 취급 실험실 필수</t>
  </si>
  <si>
    <t xml:space="preserve">국소배기장치</t>
  </si>
  <si>
    <r>
      <rPr>
        <sz val="9"/>
        <color rgb="FF555555"/>
        <rFont val="Noto Sans CJK KR"/>
        <family val="2"/>
      </rPr>
      <t xml:space="preserve">기술실</t>
    </r>
    <r>
      <rPr>
        <sz val="9"/>
        <color rgb="FF555555"/>
        <rFont val="맑은 고딕"/>
        <family val="0"/>
        <charset val="1"/>
      </rPr>
      <t xml:space="preserve">·</t>
    </r>
    <r>
      <rPr>
        <sz val="9"/>
        <color rgb="FF555555"/>
        <rFont val="Noto Sans CJK KR"/>
        <family val="2"/>
      </rPr>
      <t xml:space="preserve">미술실 포함</t>
    </r>
  </si>
  <si>
    <t xml:space="preserve">시약장 잠금형 교체</t>
  </si>
  <si>
    <r>
      <rPr>
        <sz val="11"/>
        <color theme="1"/>
        <rFont val="Noto Sans CJK KR"/>
        <family val="2"/>
      </rPr>
      <t xml:space="preserve">보관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KR"/>
        <family val="2"/>
      </rPr>
      <t xml:space="preserve">격리</t>
    </r>
  </si>
  <si>
    <r>
      <rPr>
        <sz val="9"/>
        <color rgb="FF555555"/>
        <rFont val="Noto Sans CJK KR"/>
        <family val="2"/>
      </rPr>
      <t xml:space="preserve">내산내열</t>
    </r>
    <r>
      <rPr>
        <sz val="9"/>
        <color rgb="FF555555"/>
        <rFont val="맑은 고딕"/>
        <family val="0"/>
        <charset val="1"/>
      </rPr>
      <t xml:space="preserve">·</t>
    </r>
    <r>
      <rPr>
        <sz val="9"/>
        <color rgb="FF555555"/>
        <rFont val="Noto Sans CJK KR"/>
        <family val="2"/>
      </rPr>
      <t xml:space="preserve">잠금</t>
    </r>
    <r>
      <rPr>
        <sz val="9"/>
        <color rgb="FF555555"/>
        <rFont val="맑은 고딕"/>
        <family val="0"/>
        <charset val="1"/>
      </rPr>
      <t xml:space="preserve">·</t>
    </r>
    <r>
      <rPr>
        <sz val="9"/>
        <color rgb="FF555555"/>
        <rFont val="Noto Sans CJK KR"/>
        <family val="2"/>
      </rPr>
      <t xml:space="preserve">환기</t>
    </r>
  </si>
  <si>
    <r>
      <rPr>
        <b val="true"/>
        <sz val="11"/>
        <rFont val="Noto Sans CJK KR"/>
        <family val="2"/>
      </rPr>
      <t xml:space="preserve">폐액용기</t>
    </r>
    <r>
      <rPr>
        <b val="true"/>
        <sz val="11"/>
        <rFont val="맑은 고딕"/>
        <family val="0"/>
        <charset val="1"/>
      </rPr>
      <t xml:space="preserve">·</t>
    </r>
    <r>
      <rPr>
        <b val="true"/>
        <sz val="11"/>
        <rFont val="Noto Sans CJK KR"/>
        <family val="2"/>
      </rPr>
      <t xml:space="preserve">폐기물 보관 세트</t>
    </r>
  </si>
  <si>
    <t xml:space="preserve">시약별 분리 수거</t>
  </si>
  <si>
    <t xml:space="preserve">가스누출감지기</t>
  </si>
  <si>
    <r>
      <rPr>
        <sz val="11"/>
        <color theme="1"/>
        <rFont val="Noto Sans CJK KR"/>
        <family val="2"/>
      </rPr>
      <t xml:space="preserve">감지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KR"/>
        <family val="2"/>
      </rPr>
      <t xml:space="preserve">경보</t>
    </r>
  </si>
  <si>
    <t xml:space="preserve">연동경보 포함</t>
  </si>
  <si>
    <r>
      <rPr>
        <b val="true"/>
        <sz val="11"/>
        <rFont val="맑은 고딕"/>
        <family val="0"/>
        <charset val="1"/>
      </rPr>
      <t xml:space="preserve">PPE </t>
    </r>
    <r>
      <rPr>
        <b val="true"/>
        <sz val="11"/>
        <rFont val="Noto Sans CJK KR"/>
        <family val="2"/>
      </rPr>
      <t xml:space="preserve">세트 </t>
    </r>
    <r>
      <rPr>
        <b val="true"/>
        <sz val="11"/>
        <rFont val="맑은 고딕"/>
        <family val="0"/>
        <charset val="1"/>
      </rPr>
      <t xml:space="preserve">(30</t>
    </r>
    <r>
      <rPr>
        <b val="true"/>
        <sz val="11"/>
        <rFont val="Noto Sans CJK KR"/>
        <family val="2"/>
      </rPr>
      <t xml:space="preserve">인 기준</t>
    </r>
    <r>
      <rPr>
        <b val="true"/>
        <sz val="11"/>
        <rFont val="맑은 고딕"/>
        <family val="0"/>
        <charset val="1"/>
      </rPr>
      <t xml:space="preserve">)</t>
    </r>
  </si>
  <si>
    <t xml:space="preserve">개인보호구</t>
  </si>
  <si>
    <r>
      <rPr>
        <sz val="9"/>
        <color rgb="FF555555"/>
        <rFont val="Noto Sans CJK KR"/>
        <family val="2"/>
      </rPr>
      <t xml:space="preserve">보안경</t>
    </r>
    <r>
      <rPr>
        <sz val="9"/>
        <color rgb="FF555555"/>
        <rFont val="맑은 고딕"/>
        <family val="0"/>
        <charset val="1"/>
      </rPr>
      <t xml:space="preserve">·</t>
    </r>
    <r>
      <rPr>
        <sz val="9"/>
        <color rgb="FF555555"/>
        <rFont val="Noto Sans CJK KR"/>
        <family val="2"/>
      </rPr>
      <t xml:space="preserve">장갑</t>
    </r>
    <r>
      <rPr>
        <sz val="9"/>
        <color rgb="FF555555"/>
        <rFont val="맑은 고딕"/>
        <family val="0"/>
        <charset val="1"/>
      </rPr>
      <t xml:space="preserve">·</t>
    </r>
    <r>
      <rPr>
        <sz val="9"/>
        <color rgb="FF555555"/>
        <rFont val="Noto Sans CJK KR"/>
        <family val="2"/>
      </rPr>
      <t xml:space="preserve">실험복</t>
    </r>
    <r>
      <rPr>
        <sz val="9"/>
        <color rgb="FF555555"/>
        <rFont val="맑은 고딕"/>
        <family val="0"/>
        <charset val="1"/>
      </rPr>
      <t xml:space="preserve">·</t>
    </r>
    <r>
      <rPr>
        <sz val="9"/>
        <color rgb="FF555555"/>
        <rFont val="Noto Sans CJK KR"/>
        <family val="2"/>
      </rPr>
      <t xml:space="preserve">방독면</t>
    </r>
  </si>
  <si>
    <r>
      <rPr>
        <b val="true"/>
        <sz val="11"/>
        <rFont val="맑은 고딕"/>
        <family val="0"/>
        <charset val="1"/>
      </rPr>
      <t xml:space="preserve">MSDS </t>
    </r>
    <r>
      <rPr>
        <b val="true"/>
        <sz val="11"/>
        <rFont val="Noto Sans CJK KR"/>
        <family val="2"/>
      </rPr>
      <t xml:space="preserve">비치함 </t>
    </r>
    <r>
      <rPr>
        <b val="true"/>
        <sz val="11"/>
        <rFont val="맑은 고딕"/>
        <family val="0"/>
        <charset val="1"/>
      </rPr>
      <t xml:space="preserve">+ </t>
    </r>
    <r>
      <rPr>
        <b val="true"/>
        <sz val="11"/>
        <rFont val="Noto Sans CJK KR"/>
        <family val="2"/>
      </rPr>
      <t xml:space="preserve">안전수칙 게시판</t>
    </r>
  </si>
  <si>
    <r>
      <rPr>
        <sz val="11"/>
        <color theme="1"/>
        <rFont val="Noto Sans CJK KR"/>
        <family val="2"/>
      </rPr>
      <t xml:space="preserve">안내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KR"/>
        <family val="2"/>
      </rPr>
      <t xml:space="preserve">표지</t>
    </r>
  </si>
  <si>
    <t xml:space="preserve">법정 비치 의무</t>
  </si>
  <si>
    <r>
      <rPr>
        <b val="true"/>
        <sz val="13"/>
        <rFont val="Noto Sans CJK KR"/>
        <family val="2"/>
      </rPr>
      <t xml:space="preserve">시나리오 </t>
    </r>
    <r>
      <rPr>
        <b val="true"/>
        <sz val="13"/>
        <rFont val="맑은 고딕"/>
        <family val="0"/>
        <charset val="1"/>
      </rPr>
      <t xml:space="preserve">1 — </t>
    </r>
    <r>
      <rPr>
        <b val="true"/>
        <sz val="13"/>
        <rFont val="Noto Sans CJK KR"/>
        <family val="2"/>
      </rPr>
      <t xml:space="preserve">소규모 — 예산 배분 시뮬레이션</t>
    </r>
  </si>
  <si>
    <r>
      <rPr>
        <b val="true"/>
        <sz val="11"/>
        <rFont val="Noto Sans CJK KR"/>
        <family val="2"/>
      </rPr>
      <t xml:space="preserve">총예산 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Noto Sans CJK KR"/>
        <family val="2"/>
      </rPr>
      <t xml:space="preserve">만원</t>
    </r>
    <r>
      <rPr>
        <b val="true"/>
        <sz val="11"/>
        <rFont val="맑은 고딕"/>
        <family val="0"/>
        <charset val="1"/>
      </rPr>
      <t xml:space="preserve">)</t>
    </r>
  </si>
  <si>
    <r>
      <rPr>
        <sz val="9"/>
        <color rgb="FF555555"/>
        <rFont val="Noto Sans CJK KR"/>
        <family val="2"/>
      </rPr>
      <t xml:space="preserve">예</t>
    </r>
    <r>
      <rPr>
        <sz val="9"/>
        <color rgb="FF555555"/>
        <rFont val="맑은 고딕"/>
        <family val="0"/>
        <charset val="1"/>
      </rPr>
      <t xml:space="preserve">: 5</t>
    </r>
    <r>
      <rPr>
        <sz val="9"/>
        <color rgb="FF555555"/>
        <rFont val="Noto Sans CJK KR"/>
        <family val="2"/>
      </rPr>
      <t xml:space="preserve">억원 입력 시 </t>
    </r>
    <r>
      <rPr>
        <sz val="9"/>
        <color rgb="FF555555"/>
        <rFont val="맑은 고딕"/>
        <family val="0"/>
        <charset val="1"/>
      </rPr>
      <t xml:space="preserve">50,000 </t>
    </r>
    <r>
      <rPr>
        <sz val="9"/>
        <color rgb="FF555555"/>
        <rFont val="Noto Sans CJK KR"/>
        <family val="2"/>
      </rPr>
      <t xml:space="preserve">입력</t>
    </r>
  </si>
  <si>
    <t xml:space="preserve">대상</t>
  </si>
  <si>
    <r>
      <rPr>
        <sz val="10"/>
        <rFont val="맑은 고딕"/>
        <family val="0"/>
        <charset val="1"/>
      </rPr>
      <t xml:space="preserve">S1 </t>
    </r>
    <r>
      <rPr>
        <sz val="10"/>
        <rFont val="Noto Sans CJK KR"/>
        <family val="2"/>
      </rPr>
      <t xml:space="preserve">상위 </t>
    </r>
    <r>
      <rPr>
        <sz val="10"/>
        <rFont val="맑은 고딕"/>
        <family val="0"/>
        <charset val="1"/>
      </rPr>
      <t xml:space="preserve">100</t>
    </r>
    <r>
      <rPr>
        <sz val="10"/>
        <rFont val="Noto Sans CJK KR"/>
        <family val="2"/>
      </rPr>
      <t xml:space="preserve">교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KR"/>
        <family val="2"/>
      </rPr>
      <t xml:space="preserve">고위험 상위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</si>
  <si>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Noto Sans CJK KR"/>
        <family val="2"/>
      </rPr>
      <t xml:space="preserve">단위비용</t>
    </r>
    <r>
      <rPr>
        <b val="true"/>
        <sz val="11"/>
        <color rgb="FFFFFFFF"/>
        <rFont val="맑은 고딕"/>
        <family val="0"/>
        <charset val="1"/>
      </rPr>
      <t xml:space="preserve">
(</t>
    </r>
    <r>
      <rPr>
        <b val="true"/>
        <sz val="11"/>
        <color rgb="FFFFFFFF"/>
        <rFont val="Noto Sans CJK KR"/>
        <family val="2"/>
      </rPr>
      <t xml:space="preserve">참조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</si>
  <si>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Noto Sans CJK KR"/>
        <family val="2"/>
      </rPr>
      <t xml:space="preserve">대상시설수</t>
    </r>
    <r>
      <rPr>
        <b val="true"/>
        <sz val="11"/>
        <color rgb="FFFFFFFF"/>
        <rFont val="맑은 고딕"/>
        <family val="0"/>
        <charset val="1"/>
      </rPr>
      <t xml:space="preserve">
(</t>
    </r>
    <r>
      <rPr>
        <b val="true"/>
        <sz val="11"/>
        <color rgb="FFFFFFFF"/>
        <rFont val="Noto Sans CJK KR"/>
        <family val="2"/>
      </rPr>
      <t xml:space="preserve">입력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</si>
  <si>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Noto Sans CJK KR"/>
        <family val="2"/>
      </rPr>
      <t xml:space="preserve">할당 수</t>
    </r>
    <r>
      <rPr>
        <b val="true"/>
        <sz val="11"/>
        <color rgb="FFFFFFFF"/>
        <rFont val="맑은 고딕"/>
        <family val="0"/>
        <charset val="1"/>
      </rPr>
      <t xml:space="preserve">
(</t>
    </r>
    <r>
      <rPr>
        <b val="true"/>
        <sz val="11"/>
        <color rgb="FFFFFFFF"/>
        <rFont val="Noto Sans CJK KR"/>
        <family val="2"/>
      </rPr>
      <t xml:space="preserve">입력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</si>
  <si>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Noto Sans CJK KR"/>
        <family val="2"/>
      </rPr>
      <t xml:space="preserve">비용 합계</t>
    </r>
    <r>
      <rPr>
        <b val="true"/>
        <sz val="11"/>
        <color rgb="FFFFFFFF"/>
        <rFont val="맑은 고딕"/>
        <family val="0"/>
        <charset val="1"/>
      </rPr>
      <t xml:space="preserve">
(</t>
    </r>
    <r>
      <rPr>
        <b val="true"/>
        <sz val="11"/>
        <color rgb="FFFFFFFF"/>
        <rFont val="Noto Sans CJK KR"/>
        <family val="2"/>
      </rPr>
      <t xml:space="preserve">자동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</si>
  <si>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Noto Sans CJK KR"/>
        <family val="2"/>
      </rPr>
      <t xml:space="preserve">감소량</t>
    </r>
    <r>
      <rPr>
        <b val="true"/>
        <sz val="11"/>
        <color rgb="FFFFFFFF"/>
        <rFont val="맑은 고딕"/>
        <family val="0"/>
        <charset val="1"/>
      </rPr>
      <t xml:space="preserve">
(</t>
    </r>
    <r>
      <rPr>
        <b val="true"/>
        <sz val="11"/>
        <color rgb="FFFFFFFF"/>
        <rFont val="Noto Sans CJK KR"/>
        <family val="2"/>
      </rPr>
      <t xml:space="preserve">자동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</si>
  <si>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메모</t>
  </si>
  <si>
    <t xml:space="preserve">합계</t>
  </si>
  <si>
    <t xml:space="preserve">예산 사용률</t>
  </si>
  <si>
    <r>
      <rPr>
        <b val="true"/>
        <sz val="11"/>
        <rFont val="Noto Sans CJK KR"/>
        <family val="2"/>
      </rPr>
      <t xml:space="preserve">잠재 위험 감소율 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Noto Sans CJK KR"/>
        <family val="2"/>
      </rPr>
      <t xml:space="preserve">감소량 </t>
    </r>
    <r>
      <rPr>
        <b val="true"/>
        <sz val="11"/>
        <rFont val="맑은 고딕"/>
        <family val="0"/>
        <charset val="1"/>
      </rPr>
      <t xml:space="preserve">÷ </t>
    </r>
    <r>
      <rPr>
        <b val="true"/>
        <sz val="11"/>
        <rFont val="Noto Sans CJK KR"/>
        <family val="2"/>
      </rPr>
      <t xml:space="preserve">최대가능</t>
    </r>
    <r>
      <rPr>
        <b val="true"/>
        <sz val="11"/>
        <rFont val="맑은 고딕"/>
        <family val="0"/>
        <charset val="1"/>
      </rPr>
      <t xml:space="preserve">)</t>
    </r>
  </si>
  <si>
    <r>
      <rPr>
        <sz val="9"/>
        <color rgb="FF555555"/>
        <rFont val="Noto Sans CJK KR"/>
        <family val="2"/>
      </rPr>
      <t xml:space="preserve">대상 시설 누계 </t>
    </r>
    <r>
      <rPr>
        <sz val="9"/>
        <color rgb="FF555555"/>
        <rFont val="맑은 고딕"/>
        <family val="0"/>
        <charset val="1"/>
      </rPr>
      <t xml:space="preserve">(</t>
    </r>
    <r>
      <rPr>
        <sz val="9"/>
        <color rgb="FF555555"/>
        <rFont val="Noto Sans CJK KR"/>
        <family val="2"/>
      </rPr>
      <t xml:space="preserve">참고</t>
    </r>
    <r>
      <rPr>
        <sz val="9"/>
        <color rgb="FF555555"/>
        <rFont val="맑은 고딕"/>
        <family val="0"/>
        <charset val="1"/>
      </rPr>
      <t xml:space="preserve">)</t>
    </r>
  </si>
  <si>
    <r>
      <rPr>
        <sz val="9"/>
        <color rgb="FF555555"/>
        <rFont val="Noto Sans CJK KR"/>
        <family val="2"/>
      </rPr>
      <t xml:space="preserve">↑ 대상 수 </t>
    </r>
    <r>
      <rPr>
        <sz val="9"/>
        <color rgb="FF555555"/>
        <rFont val="맑은 고딕"/>
        <family val="0"/>
        <charset val="1"/>
      </rPr>
      <t xml:space="preserve">/ </t>
    </r>
    <r>
      <rPr>
        <sz val="9"/>
        <color rgb="FF555555"/>
        <rFont val="Noto Sans CJK KR"/>
        <family val="2"/>
      </rPr>
      <t xml:space="preserve">할당 수 합계</t>
    </r>
  </si>
  <si>
    <r>
      <rPr>
        <b val="true"/>
        <sz val="11"/>
        <rFont val="맑은 고딕"/>
        <family val="0"/>
        <charset val="1"/>
      </rPr>
      <t xml:space="preserve">[</t>
    </r>
    <r>
      <rPr>
        <b val="true"/>
        <sz val="11"/>
        <rFont val="Noto Sans CJK KR"/>
        <family val="2"/>
      </rPr>
      <t xml:space="preserve">배분 전략 힌트</t>
    </r>
    <r>
      <rPr>
        <b val="true"/>
        <sz val="11"/>
        <rFont val="맑은 고딕"/>
        <family val="0"/>
        <charset val="1"/>
      </rPr>
      <t xml:space="preserve">]</t>
    </r>
  </si>
  <si>
    <r>
      <rPr>
        <sz val="9"/>
        <color rgb="FF555555"/>
        <rFont val="Noto Sans CJK KR"/>
        <family val="2"/>
      </rPr>
      <t xml:space="preserve">개입</t>
    </r>
    <r>
      <rPr>
        <sz val="9"/>
        <color rgb="FF555555"/>
        <rFont val="맑은 고딕"/>
        <family val="0"/>
        <charset val="1"/>
      </rPr>
      <t xml:space="preserve">_</t>
    </r>
    <r>
      <rPr>
        <sz val="9"/>
        <color rgb="FF555555"/>
        <rFont val="Noto Sans CJK KR"/>
        <family val="2"/>
      </rPr>
      <t xml:space="preserve">파라미터 시트의 </t>
    </r>
    <r>
      <rPr>
        <sz val="9"/>
        <color rgb="FF555555"/>
        <rFont val="맑은 고딕"/>
        <family val="0"/>
        <charset val="1"/>
      </rPr>
      <t xml:space="preserve">'</t>
    </r>
    <r>
      <rPr>
        <sz val="9"/>
        <color rgb="FF555555"/>
        <rFont val="Noto Sans CJK KR"/>
        <family val="2"/>
      </rPr>
      <t xml:space="preserve">비용효율성</t>
    </r>
    <r>
      <rPr>
        <sz val="9"/>
        <color rgb="FF555555"/>
        <rFont val="맑은 고딕"/>
        <family val="0"/>
        <charset val="1"/>
      </rPr>
      <t xml:space="preserve">' </t>
    </r>
    <r>
      <rPr>
        <sz val="9"/>
        <color rgb="FF555555"/>
        <rFont val="Noto Sans CJK KR"/>
        <family val="2"/>
      </rPr>
      <t xml:space="preserve">열</t>
    </r>
    <r>
      <rPr>
        <sz val="9"/>
        <color rgb="FF555555"/>
        <rFont val="맑은 고딕"/>
        <family val="0"/>
        <charset val="1"/>
      </rPr>
      <t xml:space="preserve">(F</t>
    </r>
    <r>
      <rPr>
        <sz val="9"/>
        <color rgb="FF555555"/>
        <rFont val="Noto Sans CJK KR"/>
        <family val="2"/>
      </rPr>
      <t xml:space="preserve">열</t>
    </r>
    <r>
      <rPr>
        <sz val="9"/>
        <color rgb="FF555555"/>
        <rFont val="맑은 고딕"/>
        <family val="0"/>
        <charset val="1"/>
      </rPr>
      <t xml:space="preserve">)</t>
    </r>
    <r>
      <rPr>
        <sz val="9"/>
        <color rgb="FF555555"/>
        <rFont val="Noto Sans CJK KR"/>
        <family val="2"/>
      </rPr>
      <t xml:space="preserve">에서 높은 값 카테고리부터 우선 배분하면 동일 예산 대비 위험 감소량이 최대화됩니다 </t>
    </r>
    <r>
      <rPr>
        <sz val="9"/>
        <color rgb="FF555555"/>
        <rFont val="맑은 고딕"/>
        <family val="0"/>
        <charset val="1"/>
      </rPr>
      <t xml:space="preserve">(greedy </t>
    </r>
    <r>
      <rPr>
        <sz val="9"/>
        <color rgb="FF555555"/>
        <rFont val="Noto Sans CJK KR"/>
        <family val="2"/>
      </rPr>
      <t xml:space="preserve">근사해 </t>
    </r>
    <r>
      <rPr>
        <sz val="9"/>
        <color rgb="FF555555"/>
        <rFont val="맑은 고딕"/>
        <family val="0"/>
        <charset val="1"/>
      </rPr>
      <t xml:space="preserve">= </t>
    </r>
    <r>
      <rPr>
        <sz val="9"/>
        <color rgb="FF555555"/>
        <rFont val="Noto Sans CJK KR"/>
        <family val="2"/>
      </rPr>
      <t xml:space="preserve">연속 </t>
    </r>
    <r>
      <rPr>
        <sz val="9"/>
        <color rgb="FF555555"/>
        <rFont val="맑은 고딕"/>
        <family val="0"/>
        <charset val="1"/>
      </rPr>
      <t xml:space="preserve">LP </t>
    </r>
    <r>
      <rPr>
        <sz val="9"/>
        <color rgb="FF555555"/>
        <rFont val="Noto Sans CJK KR"/>
        <family val="2"/>
      </rPr>
      <t xml:space="preserve">최적해</t>
    </r>
    <r>
      <rPr>
        <sz val="9"/>
        <color rgb="FF555555"/>
        <rFont val="맑은 고딕"/>
        <family val="0"/>
        <charset val="1"/>
      </rPr>
      <t xml:space="preserve">).</t>
    </r>
  </si>
  <si>
    <r>
      <rPr>
        <b val="true"/>
        <sz val="13"/>
        <rFont val="Noto Sans CJK KR"/>
        <family val="2"/>
      </rPr>
      <t xml:space="preserve">시나리오 </t>
    </r>
    <r>
      <rPr>
        <b val="true"/>
        <sz val="13"/>
        <rFont val="맑은 고딕"/>
        <family val="0"/>
        <charset val="1"/>
      </rPr>
      <t xml:space="preserve">2 — </t>
    </r>
    <r>
      <rPr>
        <b val="true"/>
        <sz val="13"/>
        <rFont val="Noto Sans CJK KR"/>
        <family val="2"/>
      </rPr>
      <t xml:space="preserve">중규모 — 예산 배분 시뮬레이션</t>
    </r>
  </si>
  <si>
    <r>
      <rPr>
        <sz val="9"/>
        <color rgb="FF555555"/>
        <rFont val="Noto Sans CJK KR"/>
        <family val="2"/>
      </rPr>
      <t xml:space="preserve">예</t>
    </r>
    <r>
      <rPr>
        <sz val="9"/>
        <color rgb="FF555555"/>
        <rFont val="맑은 고딕"/>
        <family val="0"/>
        <charset val="1"/>
      </rPr>
      <t xml:space="preserve">: 30</t>
    </r>
    <r>
      <rPr>
        <sz val="9"/>
        <color rgb="FF555555"/>
        <rFont val="Noto Sans CJK KR"/>
        <family val="2"/>
      </rPr>
      <t xml:space="preserve">억원 입력 시 </t>
    </r>
    <r>
      <rPr>
        <sz val="9"/>
        <color rgb="FF555555"/>
        <rFont val="맑은 고딕"/>
        <family val="0"/>
        <charset val="1"/>
      </rPr>
      <t xml:space="preserve">300,000 </t>
    </r>
    <r>
      <rPr>
        <sz val="9"/>
        <color rgb="FF555555"/>
        <rFont val="Noto Sans CJK KR"/>
        <family val="2"/>
      </rPr>
      <t xml:space="preserve">입력</t>
    </r>
  </si>
  <si>
    <r>
      <rPr>
        <sz val="10"/>
        <rFont val="맑은 고딕"/>
        <family val="0"/>
        <charset val="1"/>
      </rPr>
      <t xml:space="preserve">S1 </t>
    </r>
    <r>
      <rPr>
        <sz val="10"/>
        <rFont val="Noto Sans CJK KR"/>
        <family val="2"/>
      </rPr>
      <t xml:space="preserve">전체 </t>
    </r>
    <r>
      <rPr>
        <sz val="10"/>
        <rFont val="맑은 고딕"/>
        <family val="0"/>
        <charset val="1"/>
      </rPr>
      <t xml:space="preserve">526</t>
    </r>
    <r>
      <rPr>
        <sz val="10"/>
        <rFont val="Noto Sans CJK KR"/>
        <family val="2"/>
      </rPr>
      <t xml:space="preserve">교</t>
    </r>
  </si>
  <si>
    <r>
      <rPr>
        <b val="true"/>
        <sz val="13"/>
        <rFont val="Noto Sans CJK KR"/>
        <family val="2"/>
      </rPr>
      <t xml:space="preserve">시나리오 </t>
    </r>
    <r>
      <rPr>
        <b val="true"/>
        <sz val="13"/>
        <rFont val="맑은 고딕"/>
        <family val="0"/>
        <charset val="1"/>
      </rPr>
      <t xml:space="preserve">3 — </t>
    </r>
    <r>
      <rPr>
        <b val="true"/>
        <sz val="13"/>
        <rFont val="Noto Sans CJK KR"/>
        <family val="2"/>
      </rPr>
      <t xml:space="preserve">확장 — 예산 배분 시뮬레이션</t>
    </r>
  </si>
  <si>
    <r>
      <rPr>
        <sz val="9"/>
        <color rgb="FF555555"/>
        <rFont val="Noto Sans CJK KR"/>
        <family val="2"/>
      </rPr>
      <t xml:space="preserve">예</t>
    </r>
    <r>
      <rPr>
        <sz val="9"/>
        <color rgb="FF555555"/>
        <rFont val="맑은 고딕"/>
        <family val="0"/>
        <charset val="1"/>
      </rPr>
      <t xml:space="preserve">: 100</t>
    </r>
    <r>
      <rPr>
        <sz val="9"/>
        <color rgb="FF555555"/>
        <rFont val="Noto Sans CJK KR"/>
        <family val="2"/>
      </rPr>
      <t xml:space="preserve">억원 입력 시 </t>
    </r>
    <r>
      <rPr>
        <sz val="9"/>
        <color rgb="FF555555"/>
        <rFont val="맑은 고딕"/>
        <family val="0"/>
        <charset val="1"/>
      </rPr>
      <t xml:space="preserve">1,000,000 </t>
    </r>
    <r>
      <rPr>
        <sz val="9"/>
        <color rgb="FF555555"/>
        <rFont val="Noto Sans CJK KR"/>
        <family val="2"/>
      </rPr>
      <t xml:space="preserve">입력</t>
    </r>
  </si>
  <si>
    <r>
      <rPr>
        <sz val="10"/>
        <rFont val="맑은 고딕"/>
        <family val="0"/>
        <charset val="1"/>
      </rPr>
      <t xml:space="preserve">S1+S2 </t>
    </r>
    <r>
      <rPr>
        <sz val="10"/>
        <rFont val="Noto Sans CJK KR"/>
        <family val="2"/>
      </rPr>
      <t xml:space="preserve">전체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KR"/>
        <family val="2"/>
      </rPr>
      <t xml:space="preserve">전국 기준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</si>
  <si>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3"/>
        <rFont val="Noto Sans CJK KR"/>
        <family val="2"/>
      </rPr>
      <t xml:space="preserve">슬라이드 </t>
    </r>
    <r>
      <rPr>
        <b val="true"/>
        <sz val="13"/>
        <rFont val="맑은 고딕"/>
        <family val="0"/>
        <charset val="1"/>
      </rPr>
      <t xml:space="preserve">13(OPTIMIZE) </t>
    </r>
    <r>
      <rPr>
        <b val="true"/>
        <sz val="13"/>
        <rFont val="Noto Sans CJK KR"/>
        <family val="2"/>
      </rPr>
      <t xml:space="preserve">치환 수치</t>
    </r>
  </si>
  <si>
    <r>
      <rPr>
        <sz val="9"/>
        <color rgb="FF555555"/>
        <rFont val="Noto Sans CJK KR"/>
        <family val="2"/>
      </rPr>
      <t xml:space="preserve">※ 아래 </t>
    </r>
    <r>
      <rPr>
        <sz val="9"/>
        <color rgb="FF555555"/>
        <rFont val="맑은 고딕"/>
        <family val="0"/>
        <charset val="1"/>
      </rPr>
      <t xml:space="preserve">3</t>
    </r>
    <r>
      <rPr>
        <sz val="9"/>
        <color rgb="FF555555"/>
        <rFont val="Noto Sans CJK KR"/>
        <family val="2"/>
      </rPr>
      <t xml:space="preserve">개 시나리오의 예산</t>
    </r>
    <r>
      <rPr>
        <sz val="9"/>
        <color rgb="FF555555"/>
        <rFont val="맑은 고딕"/>
        <family val="0"/>
        <charset val="1"/>
      </rPr>
      <t xml:space="preserve">/</t>
    </r>
    <r>
      <rPr>
        <sz val="9"/>
        <color rgb="FF555555"/>
        <rFont val="Noto Sans CJK KR"/>
        <family val="2"/>
      </rPr>
      <t xml:space="preserve">감소율이 슬라이드 </t>
    </r>
    <r>
      <rPr>
        <sz val="9"/>
        <color rgb="FF555555"/>
        <rFont val="맑은 고딕"/>
        <family val="0"/>
        <charset val="1"/>
      </rPr>
      <t xml:space="preserve">13</t>
    </r>
    <r>
      <rPr>
        <sz val="9"/>
        <color rgb="FF555555"/>
        <rFont val="Noto Sans CJK KR"/>
        <family val="2"/>
      </rPr>
      <t xml:space="preserve">의 </t>
    </r>
    <r>
      <rPr>
        <sz val="9"/>
        <color rgb="FF555555"/>
        <rFont val="맑은 고딕"/>
        <family val="0"/>
        <charset val="1"/>
      </rPr>
      <t xml:space="preserve">RISK ↓ 3</t>
    </r>
    <r>
      <rPr>
        <sz val="9"/>
        <color rgb="FF555555"/>
        <rFont val="Noto Sans CJK KR"/>
        <family val="2"/>
      </rPr>
      <t xml:space="preserve">개 셀에 들어갑니다</t>
    </r>
    <r>
      <rPr>
        <sz val="9"/>
        <color rgb="FF555555"/>
        <rFont val="맑은 고딕"/>
        <family val="0"/>
        <charset val="1"/>
      </rPr>
      <t xml:space="preserve">.</t>
    </r>
  </si>
  <si>
    <t xml:space="preserve">시나리오</t>
  </si>
  <si>
    <r>
      <rPr>
        <b val="true"/>
        <sz val="11"/>
        <color rgb="FFFFFFFF"/>
        <rFont val="Noto Sans CJK KR"/>
        <family val="2"/>
      </rPr>
      <t xml:space="preserve">예산 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KR"/>
        <family val="2"/>
      </rPr>
      <t xml:space="preserve">만원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</si>
  <si>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대상 시설</t>
  </si>
  <si>
    <t xml:space="preserve">할당 시설 수</t>
  </si>
  <si>
    <r>
      <rPr>
        <b val="true"/>
        <sz val="11"/>
        <color rgb="FFFFFFFF"/>
        <rFont val="Noto Sans CJK KR"/>
        <family val="2"/>
      </rPr>
      <t xml:space="preserve">감소율 </t>
    </r>
    <r>
      <rPr>
        <b val="true"/>
        <sz val="11"/>
        <color rgb="FFFFFFFF"/>
        <rFont val="맑은 고딕"/>
        <family val="0"/>
        <charset val="1"/>
      </rPr>
      <t xml:space="preserve">(RISK ↓)</t>
    </r>
  </si>
  <si>
    <r>
      <rPr>
        <b val="true"/>
        <sz val="11"/>
        <rFont val="Noto Sans CJK KR"/>
        <family val="2"/>
      </rPr>
      <t xml:space="preserve">소규모 </t>
    </r>
    <r>
      <rPr>
        <b val="true"/>
        <sz val="11"/>
        <rFont val="맑은 고딕"/>
        <family val="0"/>
        <charset val="1"/>
      </rPr>
      <t xml:space="preserve">(S1 </t>
    </r>
    <r>
      <rPr>
        <b val="true"/>
        <sz val="11"/>
        <rFont val="Noto Sans CJK KR"/>
        <family val="2"/>
      </rPr>
      <t xml:space="preserve">상위 </t>
    </r>
    <r>
      <rPr>
        <b val="true"/>
        <sz val="11"/>
        <rFont val="맑은 고딕"/>
        <family val="0"/>
        <charset val="1"/>
      </rPr>
      <t xml:space="preserve">100</t>
    </r>
    <r>
      <rPr>
        <b val="true"/>
        <sz val="11"/>
        <rFont val="Noto Sans CJK KR"/>
        <family val="2"/>
      </rPr>
      <t xml:space="preserve">교</t>
    </r>
    <r>
      <rPr>
        <b val="true"/>
        <sz val="11"/>
        <rFont val="맑은 고딕"/>
        <family val="0"/>
        <charset val="1"/>
      </rPr>
      <t xml:space="preserve">)</t>
    </r>
  </si>
  <si>
    <r>
      <rPr>
        <b val="true"/>
        <sz val="11"/>
        <rFont val="Noto Sans CJK KR"/>
        <family val="2"/>
      </rPr>
      <t xml:space="preserve">중규모 </t>
    </r>
    <r>
      <rPr>
        <b val="true"/>
        <sz val="11"/>
        <rFont val="맑은 고딕"/>
        <family val="0"/>
        <charset val="1"/>
      </rPr>
      <t xml:space="preserve">(S1 </t>
    </r>
    <r>
      <rPr>
        <b val="true"/>
        <sz val="11"/>
        <rFont val="Noto Sans CJK KR"/>
        <family val="2"/>
      </rPr>
      <t xml:space="preserve">전체 </t>
    </r>
    <r>
      <rPr>
        <b val="true"/>
        <sz val="11"/>
        <rFont val="맑은 고딕"/>
        <family val="0"/>
        <charset val="1"/>
      </rPr>
      <t xml:space="preserve">526</t>
    </r>
    <r>
      <rPr>
        <b val="true"/>
        <sz val="11"/>
        <rFont val="Noto Sans CJK KR"/>
        <family val="2"/>
      </rPr>
      <t xml:space="preserve">교</t>
    </r>
    <r>
      <rPr>
        <b val="true"/>
        <sz val="11"/>
        <rFont val="맑은 고딕"/>
        <family val="0"/>
        <charset val="1"/>
      </rPr>
      <t xml:space="preserve">)</t>
    </r>
  </si>
  <si>
    <r>
      <rPr>
        <b val="true"/>
        <sz val="11"/>
        <rFont val="Noto Sans CJK KR"/>
        <family val="2"/>
      </rPr>
      <t xml:space="preserve">확장 </t>
    </r>
    <r>
      <rPr>
        <b val="true"/>
        <sz val="11"/>
        <rFont val="맑은 고딕"/>
        <family val="0"/>
        <charset val="1"/>
      </rPr>
      <t xml:space="preserve">(S1+S2 </t>
    </r>
    <r>
      <rPr>
        <b val="true"/>
        <sz val="11"/>
        <rFont val="Noto Sans CJK KR"/>
        <family val="2"/>
      </rPr>
      <t xml:space="preserve">전체</t>
    </r>
    <r>
      <rPr>
        <b val="true"/>
        <sz val="11"/>
        <rFont val="맑은 고딕"/>
        <family val="0"/>
        <charset val="1"/>
      </rPr>
      <t xml:space="preserve">)</t>
    </r>
  </si>
  <si>
    <r>
      <rPr>
        <b val="true"/>
        <sz val="11"/>
        <rFont val="맑은 고딕"/>
        <family val="0"/>
        <charset val="1"/>
      </rPr>
      <t xml:space="preserve">[</t>
    </r>
    <r>
      <rPr>
        <b val="true"/>
        <sz val="11"/>
        <rFont val="Noto Sans CJK KR"/>
        <family val="2"/>
      </rPr>
      <t xml:space="preserve">슬라이드 </t>
    </r>
    <r>
      <rPr>
        <b val="true"/>
        <sz val="11"/>
        <rFont val="맑은 고딕"/>
        <family val="0"/>
        <charset val="1"/>
      </rPr>
      <t xml:space="preserve">13 </t>
    </r>
    <r>
      <rPr>
        <b val="true"/>
        <sz val="11"/>
        <rFont val="Noto Sans CJK KR"/>
        <family val="2"/>
      </rPr>
      <t xml:space="preserve">치환 문구 예시</t>
    </r>
    <r>
      <rPr>
        <b val="true"/>
        <sz val="11"/>
        <rFont val="맑은 고딕"/>
        <family val="0"/>
        <charset val="1"/>
      </rPr>
      <t xml:space="preserve">]</t>
    </r>
  </si>
  <si>
    <r>
      <rPr>
        <sz val="10"/>
        <rFont val="Noto Sans CJK KR"/>
        <family val="2"/>
      </rPr>
      <t xml:space="preserve">대타이틀</t>
    </r>
    <r>
      <rPr>
        <sz val="10"/>
        <rFont val="맑은 고딕"/>
        <family val="0"/>
        <charset val="1"/>
      </rPr>
      <t xml:space="preserve">: '</t>
    </r>
    <r>
      <rPr>
        <sz val="10"/>
        <rFont val="Noto Sans CJK KR"/>
        <family val="2"/>
      </rPr>
      <t xml:space="preserve">예산 </t>
    </r>
    <r>
      <rPr>
        <sz val="10"/>
        <rFont val="맑은 고딕"/>
        <family val="0"/>
        <charset val="1"/>
      </rPr>
      <t xml:space="preserve">X</t>
    </r>
    <r>
      <rPr>
        <sz val="10"/>
        <rFont val="Noto Sans CJK KR"/>
        <family val="2"/>
      </rPr>
      <t xml:space="preserve">를 배분하면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KR"/>
        <family val="2"/>
      </rPr>
      <t xml:space="preserve">전국 위험도가 </t>
    </r>
    <r>
      <rPr>
        <sz val="10"/>
        <rFont val="맑은 고딕"/>
        <family val="0"/>
        <charset val="1"/>
      </rPr>
      <t xml:space="preserve">Y </t>
    </r>
    <r>
      <rPr>
        <sz val="10"/>
        <rFont val="Noto Sans CJK KR"/>
        <family val="2"/>
      </rPr>
      <t xml:space="preserve">감소합니다</t>
    </r>
    <r>
      <rPr>
        <sz val="10"/>
        <rFont val="맑은 고딕"/>
        <family val="0"/>
        <charset val="1"/>
      </rPr>
      <t xml:space="preserve">.'</t>
    </r>
  </si>
  <si>
    <r>
      <rPr>
        <b val="true"/>
        <sz val="11"/>
        <rFont val="맑은 고딕"/>
        <family val="0"/>
        <charset val="1"/>
      </rPr>
      <t xml:space="preserve">[</t>
    </r>
    <r>
      <rPr>
        <b val="true"/>
        <sz val="11"/>
        <rFont val="Noto Sans CJK KR"/>
        <family val="2"/>
      </rPr>
      <t xml:space="preserve">슬라이드 </t>
    </r>
    <r>
      <rPr>
        <b val="true"/>
        <sz val="11"/>
        <rFont val="맑은 고딕"/>
        <family val="0"/>
        <charset val="1"/>
      </rPr>
      <t xml:space="preserve">13 </t>
    </r>
    <r>
      <rPr>
        <b val="true"/>
        <sz val="11"/>
        <rFont val="Noto Sans CJK KR"/>
        <family val="2"/>
      </rPr>
      <t xml:space="preserve">시나리오 표 — </t>
    </r>
    <r>
      <rPr>
        <b val="true"/>
        <sz val="11"/>
        <rFont val="맑은 고딕"/>
        <family val="0"/>
        <charset val="1"/>
      </rPr>
      <t xml:space="preserve">RISK ↓ 3</t>
    </r>
    <r>
      <rPr>
        <b val="true"/>
        <sz val="11"/>
        <rFont val="Noto Sans CJK KR"/>
        <family val="2"/>
      </rPr>
      <t xml:space="preserve">개 셀</t>
    </r>
    <r>
      <rPr>
        <b val="true"/>
        <sz val="11"/>
        <rFont val="맑은 고딕"/>
        <family val="0"/>
        <charset val="1"/>
      </rPr>
      <t xml:space="preserve">]</t>
    </r>
  </si>
  <si>
    <r>
      <rPr>
        <sz val="9"/>
        <color rgb="FF555555"/>
        <rFont val="Noto Sans CJK KR"/>
        <family val="2"/>
      </rPr>
      <t xml:space="preserve">※ 개입</t>
    </r>
    <r>
      <rPr>
        <sz val="9"/>
        <color rgb="FF555555"/>
        <rFont val="맑은 고딕"/>
        <family val="0"/>
        <charset val="1"/>
      </rPr>
      <t xml:space="preserve">_</t>
    </r>
    <r>
      <rPr>
        <sz val="9"/>
        <color rgb="FF555555"/>
        <rFont val="Noto Sans CJK KR"/>
        <family val="2"/>
      </rPr>
      <t xml:space="preserve">파라미터 및 각 시나리오 시트의 입력값이 비어 있으면 이 시트의 결과도 빈 칸입니다</t>
    </r>
    <r>
      <rPr>
        <sz val="9"/>
        <color rgb="FF555555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</si>
</sst>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00"/>
    <numFmt numFmtId="167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맑은 고딕"/>
      <family val="0"/>
      <charset val="1"/>
    </font>
    <font>
      <b val="true"/>
      <sz val="11"/>
      <name val="Noto Sans CJK KR"/>
      <family val="2"/>
    </font>
    <font>
      <sz val="10"/>
      <name val="Noto Sans CJK KR"/>
      <family val="2"/>
    </font>
    <font>
      <sz val="10"/>
      <name val="맑은 고딕"/>
      <family val="0"/>
      <charset val="1"/>
    </font>
    <font>
      <b val="true"/>
      <sz val="13"/>
      <name val="Noto Sans CJK KR"/>
      <family val="2"/>
    </font>
    <font>
      <sz val="9"/>
      <color rgb="FF555555"/>
      <name val="맑은 고딕"/>
      <family val="0"/>
      <charset val="1"/>
    </font>
    <font>
      <sz val="9"/>
      <color rgb="FF555555"/>
      <name val="Noto Sans CJK KR"/>
      <family val="2"/>
    </font>
    <font>
      <b val="true"/>
      <sz val="11"/>
      <color rgb="FFFFFFFF"/>
      <name val="맑은 고딕"/>
      <family val="0"/>
      <charset val="1"/>
    </font>
    <font>
      <b val="true"/>
      <sz val="11"/>
      <color rgb="FFFFFFFF"/>
      <name val="Noto Sans CJK KR"/>
      <family val="2"/>
    </font>
    <font>
      <sz val="11"/>
      <color theme="1"/>
      <name val="Noto Sans CJK KR"/>
      <family val="2"/>
    </font>
    <font>
      <b val="true"/>
      <sz val="13"/>
      <name val="맑은 고딕"/>
      <family val="0"/>
      <charset val="1"/>
    </font>
    <font>
      <b val="true"/>
      <sz val="12"/>
      <color rgb="FFFFFFFF"/>
      <name val="맑은 고딕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2023"/>
        <bgColor rgb="FF333300"/>
      </patternFill>
    </fill>
    <fill>
      <patternFill patternType="solid">
        <fgColor rgb="FFFFF3CD"/>
        <bgColor rgb="FFFFF8E1"/>
      </patternFill>
    </fill>
    <fill>
      <patternFill patternType="solid">
        <fgColor rgb="FFF2F2F2"/>
        <bgColor rgb="FFE8F0FE"/>
      </patternFill>
    </fill>
    <fill>
      <patternFill patternType="solid">
        <fgColor rgb="FFE8F0FE"/>
        <bgColor rgb="FFF2F2F2"/>
      </patternFill>
    </fill>
    <fill>
      <patternFill patternType="solid">
        <fgColor rgb="FFEDE7F6"/>
        <bgColor rgb="FFE8F0FE"/>
      </patternFill>
    </fill>
    <fill>
      <patternFill patternType="solid">
        <fgColor rgb="FFD50000"/>
        <bgColor rgb="FF800000"/>
      </patternFill>
    </fill>
    <fill>
      <patternFill patternType="solid">
        <fgColor rgb="FFFFF8E1"/>
        <bgColor rgb="FFFFF3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5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CDD2"/>
        </patternFill>
      </fill>
    </dxf>
  </dxfs>
  <colors>
    <indexedColors>
      <rgbColor rgb="FF000000"/>
      <rgbColor rgb="FFFFFFFF"/>
      <rgbColor rgb="FFD5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E8F0FE"/>
      <rgbColor rgb="FF660066"/>
      <rgbColor rgb="FFFF8080"/>
      <rgbColor rgb="FF0066CC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3CD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0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5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7.15" hidden="false" customHeight="false" outlineLevel="0" collapsed="false">
      <c r="A3" s="1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/>
    </row>
    <row r="7" customFormat="false" ht="17.15" hidden="false" customHeight="false" outlineLevel="0" collapsed="false">
      <c r="A7" s="1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1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29.8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2"/>
    </row>
    <row r="21" customFormat="false" ht="17.15" hidden="false" customHeight="false" outlineLevel="0" collapsed="false">
      <c r="A21" s="1" t="s">
        <v>16</v>
      </c>
    </row>
    <row r="22" customFormat="false" ht="15" hidden="false" customHeight="false" outlineLevel="0" collapsed="false">
      <c r="A22" s="4" t="s">
        <v>17</v>
      </c>
    </row>
    <row r="23" customFormat="false" ht="15" hidden="false" customHeight="false" outlineLevel="0" collapsed="false">
      <c r="A23" s="4" t="s">
        <v>18</v>
      </c>
    </row>
    <row r="24" customFormat="false" ht="15" hidden="false" customHeight="false" outlineLevel="0" collapsed="false">
      <c r="A24" s="4" t="s">
        <v>19</v>
      </c>
    </row>
    <row r="25" customFormat="false" ht="15" hidden="false" customHeight="false" outlineLevel="0" collapsed="false">
      <c r="A25" s="4" t="s">
        <v>20</v>
      </c>
    </row>
    <row r="26" customFormat="false" ht="15" hidden="false" customHeight="false" outlineLevel="0" collapsed="false">
      <c r="A26" s="4" t="s">
        <v>21</v>
      </c>
    </row>
    <row r="27" customFormat="false" ht="15" hidden="false" customHeight="false" outlineLevel="0" collapsed="false">
      <c r="A27" s="2"/>
    </row>
    <row r="28" customFormat="false" ht="17.15" hidden="false" customHeight="false" outlineLevel="0" collapsed="false">
      <c r="A28" s="1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3" t="s">
        <v>24</v>
      </c>
    </row>
    <row r="31" customFormat="false" ht="15" hidden="false" customHeight="false" outlineLevel="0" collapsed="false">
      <c r="A31" s="3" t="s">
        <v>25</v>
      </c>
    </row>
    <row r="32" customFormat="false" ht="15" hidden="false" customHeight="false" outlineLevel="0" collapsed="false">
      <c r="A32" s="2"/>
    </row>
    <row r="33" customFormat="false" ht="17.15" hidden="false" customHeight="false" outlineLevel="0" collapsed="false">
      <c r="A33" s="1" t="s">
        <v>26</v>
      </c>
    </row>
    <row r="34" customFormat="false" ht="15" hidden="false" customHeight="false" outlineLevel="0" collapsed="false">
      <c r="A34" s="4" t="s">
        <v>27</v>
      </c>
    </row>
    <row r="35" customFormat="false" ht="15" hidden="false" customHeight="false" outlineLevel="0" collapsed="false">
      <c r="A35" s="4" t="s">
        <v>28</v>
      </c>
    </row>
    <row r="36" customFormat="false" ht="15" hidden="false" customHeight="false" outlineLevel="0" collapsed="false">
      <c r="A36" s="4" t="s">
        <v>29</v>
      </c>
    </row>
    <row r="37" customFormat="false" ht="15" hidden="false" customHeight="false" outlineLevel="0" collapsed="false">
      <c r="A37" s="4" t="s">
        <v>30</v>
      </c>
    </row>
    <row r="38" customFormat="false" ht="15" hidden="false" customHeight="false" outlineLevel="0" collapsed="false">
      <c r="A38" s="3" t="s">
        <v>31</v>
      </c>
    </row>
    <row r="39" customFormat="false" ht="15" hidden="false" customHeight="false" outlineLevel="0" collapsed="false">
      <c r="A39" s="2"/>
    </row>
    <row r="40" customFormat="false" ht="17.15" hidden="false" customHeight="false" outlineLevel="0" collapsed="false">
      <c r="A40" s="1" t="s">
        <v>32</v>
      </c>
    </row>
    <row r="41" customFormat="false" ht="15" hidden="false" customHeight="false" outlineLevel="0" collapsed="false">
      <c r="A41" s="3" t="s">
        <v>33</v>
      </c>
    </row>
    <row r="42" customFormat="false" ht="29.85" hidden="false" customHeight="false" outlineLevel="0" collapsed="false">
      <c r="A42" s="3" t="s">
        <v>34</v>
      </c>
    </row>
    <row r="43" customFormat="false" ht="15" hidden="false" customHeight="false" outlineLevel="0" collapsed="false">
      <c r="A43" s="2"/>
    </row>
    <row r="44" customFormat="false" ht="17.15" hidden="false" customHeight="false" outlineLevel="0" collapsed="false">
      <c r="A44" s="1" t="s">
        <v>35</v>
      </c>
    </row>
    <row r="45" customFormat="false" ht="29.85" hidden="false" customHeight="false" outlineLevel="0" collapsed="false">
      <c r="A45" s="3" t="s">
        <v>36</v>
      </c>
    </row>
    <row r="46" customFormat="false" ht="29.85" hidden="false" customHeight="false" outlineLevel="0" collapsed="false">
      <c r="A46" s="3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6" min="3" style="0" width="14"/>
    <col collapsed="false" customWidth="true" hidden="false" outlineLevel="0" max="7" min="7" style="0" width="32"/>
  </cols>
  <sheetData>
    <row r="1" customFormat="false" ht="16.15" hidden="false" customHeight="false" outlineLevel="0" collapsed="false">
      <c r="A1" s="5" t="s">
        <v>38</v>
      </c>
      <c r="B1" s="5"/>
      <c r="C1" s="5"/>
      <c r="D1" s="5"/>
      <c r="E1" s="5"/>
      <c r="F1" s="5"/>
      <c r="G1" s="5"/>
    </row>
    <row r="2" customFormat="false" ht="14.15" hidden="false" customHeight="false" outlineLevel="0" collapsed="false">
      <c r="A2" s="6" t="s">
        <v>39</v>
      </c>
      <c r="B2" s="6"/>
      <c r="C2" s="6"/>
      <c r="D2" s="6"/>
      <c r="E2" s="6"/>
      <c r="F2" s="6"/>
      <c r="G2" s="6"/>
    </row>
    <row r="4" customFormat="false" ht="36" hidden="false" customHeight="true" outlineLevel="0" collapsed="false">
      <c r="A4" s="7" t="s">
        <v>40</v>
      </c>
      <c r="B4" s="8" t="s">
        <v>41</v>
      </c>
      <c r="C4" s="8" t="s">
        <v>42</v>
      </c>
      <c r="D4" s="8" t="s">
        <v>43</v>
      </c>
      <c r="E4" s="8" t="s">
        <v>41</v>
      </c>
      <c r="F4" s="8" t="s">
        <v>44</v>
      </c>
      <c r="G4" s="8" t="s">
        <v>45</v>
      </c>
    </row>
    <row r="5" customFormat="false" ht="17.15" hidden="false" customHeight="false" outlineLevel="0" collapsed="false">
      <c r="A5" s="9" t="n">
        <v>1</v>
      </c>
      <c r="B5" s="10" t="s">
        <v>46</v>
      </c>
      <c r="C5" s="11"/>
      <c r="D5" s="12"/>
      <c r="E5" s="13" t="s">
        <v>47</v>
      </c>
      <c r="F5" s="14" t="str">
        <f aca="false">IFERROR(D5/C5,"")</f>
        <v/>
      </c>
      <c r="G5" s="15" t="s">
        <v>48</v>
      </c>
    </row>
    <row r="6" customFormat="false" ht="15" hidden="false" customHeight="false" outlineLevel="0" collapsed="false">
      <c r="A6" s="9" t="n">
        <v>2</v>
      </c>
      <c r="B6" s="10" t="s">
        <v>49</v>
      </c>
      <c r="C6" s="11"/>
      <c r="D6" s="12"/>
      <c r="E6" s="13" t="s">
        <v>47</v>
      </c>
      <c r="F6" s="14" t="str">
        <f aca="false">IFERROR(D6/C6,"")</f>
        <v/>
      </c>
      <c r="G6" s="16" t="s">
        <v>50</v>
      </c>
    </row>
    <row r="7" customFormat="false" ht="17.15" hidden="false" customHeight="false" outlineLevel="0" collapsed="false">
      <c r="A7" s="9" t="n">
        <v>3</v>
      </c>
      <c r="B7" s="10" t="s">
        <v>51</v>
      </c>
      <c r="C7" s="11"/>
      <c r="D7" s="12"/>
      <c r="E7" s="13" t="s">
        <v>47</v>
      </c>
      <c r="F7" s="14" t="str">
        <f aca="false">IFERROR(D7/C7,"")</f>
        <v/>
      </c>
      <c r="G7" s="15" t="s">
        <v>52</v>
      </c>
    </row>
    <row r="8" customFormat="false" ht="17.15" hidden="false" customHeight="false" outlineLevel="0" collapsed="false">
      <c r="A8" s="9" t="n">
        <v>4</v>
      </c>
      <c r="B8" s="10" t="s">
        <v>53</v>
      </c>
      <c r="C8" s="11"/>
      <c r="D8" s="12"/>
      <c r="E8" s="13" t="s">
        <v>54</v>
      </c>
      <c r="F8" s="14" t="str">
        <f aca="false">IFERROR(D8/C8,"")</f>
        <v/>
      </c>
      <c r="G8" s="15" t="s">
        <v>55</v>
      </c>
    </row>
    <row r="9" customFormat="false" ht="17.15" hidden="false" customHeight="false" outlineLevel="0" collapsed="false">
      <c r="A9" s="9" t="n">
        <v>5</v>
      </c>
      <c r="B9" s="10" t="s">
        <v>56</v>
      </c>
      <c r="C9" s="11"/>
      <c r="D9" s="12"/>
      <c r="E9" s="13" t="s">
        <v>54</v>
      </c>
      <c r="F9" s="14" t="str">
        <f aca="false">IFERROR(D9/C9,"")</f>
        <v/>
      </c>
      <c r="G9" s="15" t="s">
        <v>57</v>
      </c>
    </row>
    <row r="10" customFormat="false" ht="17.15" hidden="false" customHeight="false" outlineLevel="0" collapsed="false">
      <c r="A10" s="9" t="n">
        <v>6</v>
      </c>
      <c r="B10" s="10" t="s">
        <v>58</v>
      </c>
      <c r="C10" s="11"/>
      <c r="D10" s="12"/>
      <c r="E10" s="13" t="s">
        <v>59</v>
      </c>
      <c r="F10" s="14" t="str">
        <f aca="false">IFERROR(D10/C10,"")</f>
        <v/>
      </c>
      <c r="G10" s="15" t="s">
        <v>60</v>
      </c>
    </row>
    <row r="11" customFormat="false" ht="17.15" hidden="false" customHeight="false" outlineLevel="0" collapsed="false">
      <c r="A11" s="9" t="n">
        <v>7</v>
      </c>
      <c r="B11" s="10" t="s">
        <v>61</v>
      </c>
      <c r="C11" s="11"/>
      <c r="D11" s="12"/>
      <c r="E11" s="13" t="s">
        <v>59</v>
      </c>
      <c r="F11" s="14" t="str">
        <f aca="false">IFERROR(D11/C11,"")</f>
        <v/>
      </c>
      <c r="G11" s="15" t="s">
        <v>62</v>
      </c>
    </row>
    <row r="12" customFormat="false" ht="17.15" hidden="false" customHeight="false" outlineLevel="0" collapsed="false">
      <c r="A12" s="9" t="n">
        <v>8</v>
      </c>
      <c r="B12" s="10" t="s">
        <v>63</v>
      </c>
      <c r="C12" s="11"/>
      <c r="D12" s="12"/>
      <c r="E12" s="13" t="s">
        <v>64</v>
      </c>
      <c r="F12" s="14" t="str">
        <f aca="false">IFERROR(D12/C12,"")</f>
        <v/>
      </c>
      <c r="G12" s="15" t="s">
        <v>65</v>
      </c>
    </row>
    <row r="13" customFormat="false" ht="17.15" hidden="false" customHeight="false" outlineLevel="0" collapsed="false">
      <c r="A13" s="9" t="n">
        <v>9</v>
      </c>
      <c r="B13" s="17" t="s">
        <v>66</v>
      </c>
      <c r="C13" s="11"/>
      <c r="D13" s="12"/>
      <c r="E13" s="13" t="s">
        <v>67</v>
      </c>
      <c r="F13" s="14" t="str">
        <f aca="false">IFERROR(D13/C13,"")</f>
        <v/>
      </c>
      <c r="G13" s="15" t="s">
        <v>68</v>
      </c>
    </row>
    <row r="14" customFormat="false" ht="17.15" hidden="false" customHeight="false" outlineLevel="0" collapsed="false">
      <c r="A14" s="9" t="n">
        <v>10</v>
      </c>
      <c r="B14" s="17" t="s">
        <v>69</v>
      </c>
      <c r="C14" s="11"/>
      <c r="D14" s="12"/>
      <c r="E14" s="13" t="s">
        <v>70</v>
      </c>
      <c r="F14" s="14" t="str">
        <f aca="false">IFERROR(D14/C14,"")</f>
        <v/>
      </c>
      <c r="G14" s="15" t="s">
        <v>71</v>
      </c>
    </row>
  </sheetData>
  <mergeCells count="2">
    <mergeCell ref="A1:G1"/>
    <mergeCell ref="A2:G2"/>
  </mergeCells>
  <dataValidations count="1">
    <dataValidation allowBlank="true" error="1~10 범위의 정수를 입력하세요" errorStyle="stop" operator="between" showDropDown="false" showErrorMessage="false" showInputMessage="false" sqref="D5:D14" type="whole">
      <formula1>1</formula1>
      <formula2>10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8" min="5" style="0" width="14"/>
  </cols>
  <sheetData>
    <row r="1" customFormat="false" ht="20.1" hidden="false" customHeight="false" outlineLevel="0" collapsed="false">
      <c r="A1" s="5" t="s">
        <v>72</v>
      </c>
      <c r="B1" s="5"/>
      <c r="C1" s="5"/>
      <c r="D1" s="5"/>
      <c r="E1" s="5"/>
      <c r="F1" s="5"/>
      <c r="G1" s="5"/>
      <c r="H1" s="5"/>
    </row>
    <row r="2" customFormat="false" ht="17.15" hidden="false" customHeight="false" outlineLevel="0" collapsed="false">
      <c r="A2" s="18" t="s">
        <v>73</v>
      </c>
      <c r="C2" s="19"/>
      <c r="D2" s="20" t="s">
        <v>74</v>
      </c>
      <c r="E2" s="20"/>
      <c r="F2" s="20"/>
      <c r="G2" s="20"/>
      <c r="H2" s="20"/>
    </row>
    <row r="3" customFormat="false" ht="15" hidden="false" customHeight="false" outlineLevel="0" collapsed="false">
      <c r="A3" s="18" t="s">
        <v>75</v>
      </c>
      <c r="C3" s="21" t="s">
        <v>76</v>
      </c>
      <c r="D3" s="21"/>
      <c r="E3" s="21"/>
      <c r="F3" s="21"/>
      <c r="G3" s="21"/>
      <c r="H3" s="21"/>
    </row>
    <row r="5" customFormat="false" ht="36" hidden="false" customHeight="true" outlineLevel="0" collapsed="false">
      <c r="A5" s="7" t="s">
        <v>40</v>
      </c>
      <c r="B5" s="8" t="s">
        <v>41</v>
      </c>
      <c r="C5" s="8" t="s">
        <v>77</v>
      </c>
      <c r="D5" s="8" t="s">
        <v>78</v>
      </c>
      <c r="E5" s="8" t="s">
        <v>79</v>
      </c>
      <c r="F5" s="8" t="s">
        <v>80</v>
      </c>
      <c r="G5" s="8" t="s">
        <v>81</v>
      </c>
      <c r="H5" s="8" t="s">
        <v>82</v>
      </c>
    </row>
    <row r="6" customFormat="false" ht="15" hidden="false" customHeight="false" outlineLevel="0" collapsed="false">
      <c r="A6" s="9" t="n">
        <v>1</v>
      </c>
      <c r="B6" s="22" t="str">
        <f aca="false">개입_파라미터!B5</f>
        <v>비상샤워·세안기 통합형</v>
      </c>
      <c r="C6" s="23" t="n">
        <f aca="false">개입_파라미터!C5</f>
        <v>0</v>
      </c>
      <c r="D6" s="11"/>
      <c r="E6" s="24"/>
      <c r="F6" s="25" t="n">
        <f aca="false">IFERROR(C6*E6,"")</f>
        <v>0</v>
      </c>
      <c r="G6" s="25" t="n">
        <f aca="false">IFERROR(개입_파라미터!D5*E6,"")</f>
        <v>0</v>
      </c>
      <c r="H6" s="26"/>
    </row>
    <row r="7" customFormat="false" ht="15" hidden="false" customHeight="false" outlineLevel="0" collapsed="false">
      <c r="A7" s="9" t="n">
        <v>2</v>
      </c>
      <c r="B7" s="22" t="str">
        <f aca="false">개입_파라미터!B6</f>
        <v>가스차단밸브</v>
      </c>
      <c r="C7" s="23" t="n">
        <f aca="false">개입_파라미터!C6</f>
        <v>0</v>
      </c>
      <c r="D7" s="11"/>
      <c r="E7" s="24"/>
      <c r="F7" s="25" t="n">
        <f aca="false">IFERROR(C7*E7,"")</f>
        <v>0</v>
      </c>
      <c r="G7" s="25" t="n">
        <f aca="false">IFERROR(개입_파라미터!D6*E7,"")</f>
        <v>0</v>
      </c>
      <c r="H7" s="26"/>
    </row>
    <row r="8" customFormat="false" ht="15" hidden="false" customHeight="false" outlineLevel="0" collapsed="false">
      <c r="A8" s="9" t="n">
        <v>3</v>
      </c>
      <c r="B8" s="22" t="str">
        <f aca="false">개입_파라미터!B7</f>
        <v>소화포·응급처치함 세트</v>
      </c>
      <c r="C8" s="23" t="n">
        <f aca="false">개입_파라미터!C7</f>
        <v>0</v>
      </c>
      <c r="D8" s="11"/>
      <c r="E8" s="24"/>
      <c r="F8" s="25" t="n">
        <f aca="false">IFERROR(C8*E8,"")</f>
        <v>0</v>
      </c>
      <c r="G8" s="25" t="n">
        <f aca="false">IFERROR(개입_파라미터!D7*E8,"")</f>
        <v>0</v>
      </c>
      <c r="H8" s="26"/>
    </row>
    <row r="9" customFormat="false" ht="15" hidden="false" customHeight="false" outlineLevel="0" collapsed="false">
      <c r="A9" s="9" t="n">
        <v>4</v>
      </c>
      <c r="B9" s="22" t="str">
        <f aca="false">개입_파라미터!B8</f>
        <v>흄후드 (신규/교체)</v>
      </c>
      <c r="C9" s="23" t="n">
        <f aca="false">개입_파라미터!C8</f>
        <v>0</v>
      </c>
      <c r="D9" s="11"/>
      <c r="E9" s="24"/>
      <c r="F9" s="25" t="n">
        <f aca="false">IFERROR(C9*E9,"")</f>
        <v>0</v>
      </c>
      <c r="G9" s="25" t="n">
        <f aca="false">IFERROR(개입_파라미터!D8*E9,"")</f>
        <v>0</v>
      </c>
      <c r="H9" s="26"/>
    </row>
    <row r="10" customFormat="false" ht="15" hidden="false" customHeight="false" outlineLevel="0" collapsed="false">
      <c r="A10" s="9" t="n">
        <v>5</v>
      </c>
      <c r="B10" s="22" t="str">
        <f aca="false">개입_파라미터!B9</f>
        <v>국소배기장치</v>
      </c>
      <c r="C10" s="23" t="n">
        <f aca="false">개입_파라미터!C9</f>
        <v>0</v>
      </c>
      <c r="D10" s="11"/>
      <c r="E10" s="24"/>
      <c r="F10" s="25" t="n">
        <f aca="false">IFERROR(C10*E10,"")</f>
        <v>0</v>
      </c>
      <c r="G10" s="25" t="n">
        <f aca="false">IFERROR(개입_파라미터!D9*E10,"")</f>
        <v>0</v>
      </c>
      <c r="H10" s="26"/>
    </row>
    <row r="11" customFormat="false" ht="15" hidden="false" customHeight="false" outlineLevel="0" collapsed="false">
      <c r="A11" s="9" t="n">
        <v>6</v>
      </c>
      <c r="B11" s="22" t="str">
        <f aca="false">개입_파라미터!B10</f>
        <v>시약장 잠금형 교체</v>
      </c>
      <c r="C11" s="23" t="n">
        <f aca="false">개입_파라미터!C10</f>
        <v>0</v>
      </c>
      <c r="D11" s="11"/>
      <c r="E11" s="24"/>
      <c r="F11" s="25" t="n">
        <f aca="false">IFERROR(C11*E11,"")</f>
        <v>0</v>
      </c>
      <c r="G11" s="25" t="n">
        <f aca="false">IFERROR(개입_파라미터!D10*E11,"")</f>
        <v>0</v>
      </c>
      <c r="H11" s="26"/>
    </row>
    <row r="12" customFormat="false" ht="15" hidden="false" customHeight="false" outlineLevel="0" collapsed="false">
      <c r="A12" s="9" t="n">
        <v>7</v>
      </c>
      <c r="B12" s="22" t="str">
        <f aca="false">개입_파라미터!B11</f>
        <v>폐액용기·폐기물 보관 세트</v>
      </c>
      <c r="C12" s="23" t="n">
        <f aca="false">개입_파라미터!C11</f>
        <v>0</v>
      </c>
      <c r="D12" s="11"/>
      <c r="E12" s="24"/>
      <c r="F12" s="25" t="n">
        <f aca="false">IFERROR(C12*E12,"")</f>
        <v>0</v>
      </c>
      <c r="G12" s="25" t="n">
        <f aca="false">IFERROR(개입_파라미터!D11*E12,"")</f>
        <v>0</v>
      </c>
      <c r="H12" s="26"/>
    </row>
    <row r="13" customFormat="false" ht="15" hidden="false" customHeight="false" outlineLevel="0" collapsed="false">
      <c r="A13" s="9" t="n">
        <v>8</v>
      </c>
      <c r="B13" s="22" t="str">
        <f aca="false">개입_파라미터!B12</f>
        <v>가스누출감지기</v>
      </c>
      <c r="C13" s="23" t="n">
        <f aca="false">개입_파라미터!C12</f>
        <v>0</v>
      </c>
      <c r="D13" s="11"/>
      <c r="E13" s="24"/>
      <c r="F13" s="25" t="n">
        <f aca="false">IFERROR(C13*E13,"")</f>
        <v>0</v>
      </c>
      <c r="G13" s="25" t="n">
        <f aca="false">IFERROR(개입_파라미터!D12*E13,"")</f>
        <v>0</v>
      </c>
      <c r="H13" s="26"/>
    </row>
    <row r="14" customFormat="false" ht="15" hidden="false" customHeight="false" outlineLevel="0" collapsed="false">
      <c r="A14" s="9" t="n">
        <v>9</v>
      </c>
      <c r="B14" s="22" t="str">
        <f aca="false">개입_파라미터!B13</f>
        <v>PPE 세트 (30인 기준)</v>
      </c>
      <c r="C14" s="23" t="n">
        <f aca="false">개입_파라미터!C13</f>
        <v>0</v>
      </c>
      <c r="D14" s="11"/>
      <c r="E14" s="24"/>
      <c r="F14" s="25" t="n">
        <f aca="false">IFERROR(C14*E14,"")</f>
        <v>0</v>
      </c>
      <c r="G14" s="25" t="n">
        <f aca="false">IFERROR(개입_파라미터!D13*E14,"")</f>
        <v>0</v>
      </c>
      <c r="H14" s="26"/>
    </row>
    <row r="15" customFormat="false" ht="15" hidden="false" customHeight="false" outlineLevel="0" collapsed="false">
      <c r="A15" s="9" t="n">
        <v>10</v>
      </c>
      <c r="B15" s="22" t="str">
        <f aca="false">개입_파라미터!B14</f>
        <v>MSDS 비치함 + 안전수칙 게시판</v>
      </c>
      <c r="C15" s="23" t="n">
        <f aca="false">개입_파라미터!C14</f>
        <v>0</v>
      </c>
      <c r="D15" s="11"/>
      <c r="E15" s="24"/>
      <c r="F15" s="25" t="n">
        <f aca="false">IFERROR(C15*E15,"")</f>
        <v>0</v>
      </c>
      <c r="G15" s="25" t="n">
        <f aca="false">IFERROR(개입_파라미터!D14*E15,"")</f>
        <v>0</v>
      </c>
      <c r="H15" s="26"/>
    </row>
    <row r="17" customFormat="false" ht="15" hidden="false" customHeight="false" outlineLevel="0" collapsed="false">
      <c r="A17" s="27" t="s">
        <v>83</v>
      </c>
      <c r="B17" s="27"/>
      <c r="C17" s="27"/>
      <c r="F17" s="28" t="n">
        <f aca="false">SUM(F6:F15)</f>
        <v>0</v>
      </c>
      <c r="G17" s="28" t="n">
        <f aca="false">SUM(G6:G15)</f>
        <v>0</v>
      </c>
    </row>
    <row r="18" customFormat="false" ht="15" hidden="false" customHeight="false" outlineLevel="0" collapsed="false">
      <c r="A18" s="27" t="s">
        <v>84</v>
      </c>
      <c r="B18" s="27"/>
      <c r="C18" s="27"/>
      <c r="F18" s="29" t="str">
        <f aca="false">IFERROR(F17/C2,"")</f>
        <v/>
      </c>
    </row>
    <row r="19" customFormat="false" ht="17.15" hidden="false" customHeight="false" outlineLevel="0" collapsed="false">
      <c r="A19" s="27" t="s">
        <v>85</v>
      </c>
      <c r="B19" s="27"/>
      <c r="C19" s="27"/>
      <c r="G19" s="30" t="str">
        <f aca="false">IFERROR(G17/SUMPRODUCT(개입_파라미터!D5:D14,D6:D15),"")</f>
        <v/>
      </c>
    </row>
    <row r="20" customFormat="false" ht="15" hidden="false" customHeight="false" outlineLevel="0" collapsed="false">
      <c r="A20" s="20" t="s">
        <v>86</v>
      </c>
      <c r="B20" s="20"/>
      <c r="C20" s="20"/>
      <c r="D20" s="31" t="n">
        <f aca="false">SUM(D6:D15)</f>
        <v>0</v>
      </c>
      <c r="E20" s="31" t="n">
        <f aca="false">SUM(E6:E15)</f>
        <v>0</v>
      </c>
      <c r="F20" s="32" t="s">
        <v>87</v>
      </c>
    </row>
    <row r="22" customFormat="false" ht="17.15" hidden="false" customHeight="false" outlineLevel="0" collapsed="false">
      <c r="A22" s="33" t="s">
        <v>88</v>
      </c>
      <c r="B22" s="33"/>
      <c r="C22" s="33"/>
      <c r="D22" s="33"/>
      <c r="E22" s="33"/>
      <c r="F22" s="33"/>
      <c r="G22" s="33"/>
      <c r="H22" s="33"/>
    </row>
    <row r="23" customFormat="false" ht="15" hidden="false" customHeight="true" outlineLevel="0" collapsed="false">
      <c r="A23" s="34" t="s">
        <v>89</v>
      </c>
      <c r="B23" s="34"/>
      <c r="C23" s="34"/>
      <c r="D23" s="34"/>
      <c r="E23" s="34"/>
      <c r="F23" s="34"/>
      <c r="G23" s="34"/>
      <c r="H23" s="34"/>
    </row>
  </sheetData>
  <mergeCells count="9">
    <mergeCell ref="A1:H1"/>
    <mergeCell ref="D2:H2"/>
    <mergeCell ref="C3:H3"/>
    <mergeCell ref="A17:C17"/>
    <mergeCell ref="A18:C18"/>
    <mergeCell ref="A19:C19"/>
    <mergeCell ref="A20:C20"/>
    <mergeCell ref="A22:H22"/>
    <mergeCell ref="A23:H23"/>
  </mergeCells>
  <conditionalFormatting sqref="F18">
    <cfRule type="cellIs" priority="2" operator="greaterThan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8" min="5" style="0" width="14"/>
  </cols>
  <sheetData>
    <row r="1" customFormat="false" ht="20.1" hidden="false" customHeight="false" outlineLevel="0" collapsed="false">
      <c r="A1" s="5" t="s">
        <v>90</v>
      </c>
      <c r="B1" s="5"/>
      <c r="C1" s="5"/>
      <c r="D1" s="5"/>
      <c r="E1" s="5"/>
      <c r="F1" s="5"/>
      <c r="G1" s="5"/>
      <c r="H1" s="5"/>
    </row>
    <row r="2" customFormat="false" ht="17.15" hidden="false" customHeight="false" outlineLevel="0" collapsed="false">
      <c r="A2" s="18" t="s">
        <v>73</v>
      </c>
      <c r="C2" s="19"/>
      <c r="D2" s="20" t="s">
        <v>91</v>
      </c>
      <c r="E2" s="20"/>
      <c r="F2" s="20"/>
      <c r="G2" s="20"/>
      <c r="H2" s="20"/>
    </row>
    <row r="3" customFormat="false" ht="15" hidden="false" customHeight="false" outlineLevel="0" collapsed="false">
      <c r="A3" s="18" t="s">
        <v>75</v>
      </c>
      <c r="C3" s="21" t="s">
        <v>92</v>
      </c>
      <c r="D3" s="21"/>
      <c r="E3" s="21"/>
      <c r="F3" s="21"/>
      <c r="G3" s="21"/>
      <c r="H3" s="21"/>
    </row>
    <row r="5" customFormat="false" ht="36" hidden="false" customHeight="true" outlineLevel="0" collapsed="false">
      <c r="A5" s="7" t="s">
        <v>40</v>
      </c>
      <c r="B5" s="8" t="s">
        <v>41</v>
      </c>
      <c r="C5" s="8" t="s">
        <v>77</v>
      </c>
      <c r="D5" s="8" t="s">
        <v>78</v>
      </c>
      <c r="E5" s="8" t="s">
        <v>79</v>
      </c>
      <c r="F5" s="8" t="s">
        <v>80</v>
      </c>
      <c r="G5" s="8" t="s">
        <v>81</v>
      </c>
      <c r="H5" s="8" t="s">
        <v>82</v>
      </c>
    </row>
    <row r="6" customFormat="false" ht="15" hidden="false" customHeight="false" outlineLevel="0" collapsed="false">
      <c r="A6" s="9" t="n">
        <v>1</v>
      </c>
      <c r="B6" s="22" t="str">
        <f aca="false">개입_파라미터!B5</f>
        <v>비상샤워·세안기 통합형</v>
      </c>
      <c r="C6" s="23" t="n">
        <f aca="false">개입_파라미터!C5</f>
        <v>0</v>
      </c>
      <c r="D6" s="11"/>
      <c r="E6" s="24"/>
      <c r="F6" s="25" t="n">
        <f aca="false">IFERROR(C6*E6,"")</f>
        <v>0</v>
      </c>
      <c r="G6" s="25" t="n">
        <f aca="false">IFERROR(개입_파라미터!D5*E6,"")</f>
        <v>0</v>
      </c>
      <c r="H6" s="26"/>
    </row>
    <row r="7" customFormat="false" ht="15" hidden="false" customHeight="false" outlineLevel="0" collapsed="false">
      <c r="A7" s="9" t="n">
        <v>2</v>
      </c>
      <c r="B7" s="22" t="str">
        <f aca="false">개입_파라미터!B6</f>
        <v>가스차단밸브</v>
      </c>
      <c r="C7" s="23" t="n">
        <f aca="false">개입_파라미터!C6</f>
        <v>0</v>
      </c>
      <c r="D7" s="11"/>
      <c r="E7" s="24"/>
      <c r="F7" s="25" t="n">
        <f aca="false">IFERROR(C7*E7,"")</f>
        <v>0</v>
      </c>
      <c r="G7" s="25" t="n">
        <f aca="false">IFERROR(개입_파라미터!D6*E7,"")</f>
        <v>0</v>
      </c>
      <c r="H7" s="26"/>
    </row>
    <row r="8" customFormat="false" ht="15" hidden="false" customHeight="false" outlineLevel="0" collapsed="false">
      <c r="A8" s="9" t="n">
        <v>3</v>
      </c>
      <c r="B8" s="22" t="str">
        <f aca="false">개입_파라미터!B7</f>
        <v>소화포·응급처치함 세트</v>
      </c>
      <c r="C8" s="23" t="n">
        <f aca="false">개입_파라미터!C7</f>
        <v>0</v>
      </c>
      <c r="D8" s="11"/>
      <c r="E8" s="24"/>
      <c r="F8" s="25" t="n">
        <f aca="false">IFERROR(C8*E8,"")</f>
        <v>0</v>
      </c>
      <c r="G8" s="25" t="n">
        <f aca="false">IFERROR(개입_파라미터!D7*E8,"")</f>
        <v>0</v>
      </c>
      <c r="H8" s="26"/>
    </row>
    <row r="9" customFormat="false" ht="15" hidden="false" customHeight="false" outlineLevel="0" collapsed="false">
      <c r="A9" s="9" t="n">
        <v>4</v>
      </c>
      <c r="B9" s="22" t="str">
        <f aca="false">개입_파라미터!B8</f>
        <v>흄후드 (신규/교체)</v>
      </c>
      <c r="C9" s="23" t="n">
        <f aca="false">개입_파라미터!C8</f>
        <v>0</v>
      </c>
      <c r="D9" s="11"/>
      <c r="E9" s="24"/>
      <c r="F9" s="25" t="n">
        <f aca="false">IFERROR(C9*E9,"")</f>
        <v>0</v>
      </c>
      <c r="G9" s="25" t="n">
        <f aca="false">IFERROR(개입_파라미터!D8*E9,"")</f>
        <v>0</v>
      </c>
      <c r="H9" s="26"/>
    </row>
    <row r="10" customFormat="false" ht="15" hidden="false" customHeight="false" outlineLevel="0" collapsed="false">
      <c r="A10" s="9" t="n">
        <v>5</v>
      </c>
      <c r="B10" s="22" t="str">
        <f aca="false">개입_파라미터!B9</f>
        <v>국소배기장치</v>
      </c>
      <c r="C10" s="23" t="n">
        <f aca="false">개입_파라미터!C9</f>
        <v>0</v>
      </c>
      <c r="D10" s="11"/>
      <c r="E10" s="24"/>
      <c r="F10" s="25" t="n">
        <f aca="false">IFERROR(C10*E10,"")</f>
        <v>0</v>
      </c>
      <c r="G10" s="25" t="n">
        <f aca="false">IFERROR(개입_파라미터!D9*E10,"")</f>
        <v>0</v>
      </c>
      <c r="H10" s="26"/>
    </row>
    <row r="11" customFormat="false" ht="15" hidden="false" customHeight="false" outlineLevel="0" collapsed="false">
      <c r="A11" s="9" t="n">
        <v>6</v>
      </c>
      <c r="B11" s="22" t="str">
        <f aca="false">개입_파라미터!B10</f>
        <v>시약장 잠금형 교체</v>
      </c>
      <c r="C11" s="23" t="n">
        <f aca="false">개입_파라미터!C10</f>
        <v>0</v>
      </c>
      <c r="D11" s="11"/>
      <c r="E11" s="24"/>
      <c r="F11" s="25" t="n">
        <f aca="false">IFERROR(C11*E11,"")</f>
        <v>0</v>
      </c>
      <c r="G11" s="25" t="n">
        <f aca="false">IFERROR(개입_파라미터!D10*E11,"")</f>
        <v>0</v>
      </c>
      <c r="H11" s="26"/>
    </row>
    <row r="12" customFormat="false" ht="15" hidden="false" customHeight="false" outlineLevel="0" collapsed="false">
      <c r="A12" s="9" t="n">
        <v>7</v>
      </c>
      <c r="B12" s="22" t="str">
        <f aca="false">개입_파라미터!B11</f>
        <v>폐액용기·폐기물 보관 세트</v>
      </c>
      <c r="C12" s="23" t="n">
        <f aca="false">개입_파라미터!C11</f>
        <v>0</v>
      </c>
      <c r="D12" s="11"/>
      <c r="E12" s="24"/>
      <c r="F12" s="25" t="n">
        <f aca="false">IFERROR(C12*E12,"")</f>
        <v>0</v>
      </c>
      <c r="G12" s="25" t="n">
        <f aca="false">IFERROR(개입_파라미터!D11*E12,"")</f>
        <v>0</v>
      </c>
      <c r="H12" s="26"/>
    </row>
    <row r="13" customFormat="false" ht="15" hidden="false" customHeight="false" outlineLevel="0" collapsed="false">
      <c r="A13" s="9" t="n">
        <v>8</v>
      </c>
      <c r="B13" s="22" t="str">
        <f aca="false">개입_파라미터!B12</f>
        <v>가스누출감지기</v>
      </c>
      <c r="C13" s="23" t="n">
        <f aca="false">개입_파라미터!C12</f>
        <v>0</v>
      </c>
      <c r="D13" s="11"/>
      <c r="E13" s="24"/>
      <c r="F13" s="25" t="n">
        <f aca="false">IFERROR(C13*E13,"")</f>
        <v>0</v>
      </c>
      <c r="G13" s="25" t="n">
        <f aca="false">IFERROR(개입_파라미터!D12*E13,"")</f>
        <v>0</v>
      </c>
      <c r="H13" s="26"/>
    </row>
    <row r="14" customFormat="false" ht="15" hidden="false" customHeight="false" outlineLevel="0" collapsed="false">
      <c r="A14" s="9" t="n">
        <v>9</v>
      </c>
      <c r="B14" s="22" t="str">
        <f aca="false">개입_파라미터!B13</f>
        <v>PPE 세트 (30인 기준)</v>
      </c>
      <c r="C14" s="23" t="n">
        <f aca="false">개입_파라미터!C13</f>
        <v>0</v>
      </c>
      <c r="D14" s="11"/>
      <c r="E14" s="24"/>
      <c r="F14" s="25" t="n">
        <f aca="false">IFERROR(C14*E14,"")</f>
        <v>0</v>
      </c>
      <c r="G14" s="25" t="n">
        <f aca="false">IFERROR(개입_파라미터!D13*E14,"")</f>
        <v>0</v>
      </c>
      <c r="H14" s="26"/>
    </row>
    <row r="15" customFormat="false" ht="15" hidden="false" customHeight="false" outlineLevel="0" collapsed="false">
      <c r="A15" s="9" t="n">
        <v>10</v>
      </c>
      <c r="B15" s="22" t="str">
        <f aca="false">개입_파라미터!B14</f>
        <v>MSDS 비치함 + 안전수칙 게시판</v>
      </c>
      <c r="C15" s="23" t="n">
        <f aca="false">개입_파라미터!C14</f>
        <v>0</v>
      </c>
      <c r="D15" s="11"/>
      <c r="E15" s="24"/>
      <c r="F15" s="25" t="n">
        <f aca="false">IFERROR(C15*E15,"")</f>
        <v>0</v>
      </c>
      <c r="G15" s="25" t="n">
        <f aca="false">IFERROR(개입_파라미터!D14*E15,"")</f>
        <v>0</v>
      </c>
      <c r="H15" s="26"/>
    </row>
    <row r="17" customFormat="false" ht="15" hidden="false" customHeight="false" outlineLevel="0" collapsed="false">
      <c r="A17" s="27" t="s">
        <v>83</v>
      </c>
      <c r="B17" s="27"/>
      <c r="C17" s="27"/>
      <c r="F17" s="28" t="n">
        <f aca="false">SUM(F6:F15)</f>
        <v>0</v>
      </c>
      <c r="G17" s="28" t="n">
        <f aca="false">SUM(G6:G15)</f>
        <v>0</v>
      </c>
    </row>
    <row r="18" customFormat="false" ht="15" hidden="false" customHeight="false" outlineLevel="0" collapsed="false">
      <c r="A18" s="27" t="s">
        <v>84</v>
      </c>
      <c r="B18" s="27"/>
      <c r="C18" s="27"/>
      <c r="F18" s="29" t="str">
        <f aca="false">IFERROR(F17/C2,"")</f>
        <v/>
      </c>
    </row>
    <row r="19" customFormat="false" ht="17.15" hidden="false" customHeight="false" outlineLevel="0" collapsed="false">
      <c r="A19" s="27" t="s">
        <v>85</v>
      </c>
      <c r="B19" s="27"/>
      <c r="C19" s="27"/>
      <c r="G19" s="30" t="str">
        <f aca="false">IFERROR(G17/SUMPRODUCT(개입_파라미터!D5:D14,D6:D15),"")</f>
        <v/>
      </c>
    </row>
    <row r="20" customFormat="false" ht="15" hidden="false" customHeight="false" outlineLevel="0" collapsed="false">
      <c r="A20" s="20" t="s">
        <v>86</v>
      </c>
      <c r="B20" s="20"/>
      <c r="C20" s="20"/>
      <c r="D20" s="31" t="n">
        <f aca="false">SUM(D6:D15)</f>
        <v>0</v>
      </c>
      <c r="E20" s="31" t="n">
        <f aca="false">SUM(E6:E15)</f>
        <v>0</v>
      </c>
      <c r="F20" s="32" t="s">
        <v>87</v>
      </c>
    </row>
    <row r="22" customFormat="false" ht="17.15" hidden="false" customHeight="false" outlineLevel="0" collapsed="false">
      <c r="A22" s="33" t="s">
        <v>88</v>
      </c>
      <c r="B22" s="33"/>
      <c r="C22" s="33"/>
      <c r="D22" s="33"/>
      <c r="E22" s="33"/>
      <c r="F22" s="33"/>
      <c r="G22" s="33"/>
      <c r="H22" s="33"/>
    </row>
    <row r="23" customFormat="false" ht="15" hidden="false" customHeight="true" outlineLevel="0" collapsed="false">
      <c r="A23" s="34" t="s">
        <v>89</v>
      </c>
      <c r="B23" s="34"/>
      <c r="C23" s="34"/>
      <c r="D23" s="34"/>
      <c r="E23" s="34"/>
      <c r="F23" s="34"/>
      <c r="G23" s="34"/>
      <c r="H23" s="34"/>
    </row>
  </sheetData>
  <mergeCells count="9">
    <mergeCell ref="A1:H1"/>
    <mergeCell ref="D2:H2"/>
    <mergeCell ref="C3:H3"/>
    <mergeCell ref="A17:C17"/>
    <mergeCell ref="A18:C18"/>
    <mergeCell ref="A19:C19"/>
    <mergeCell ref="A20:C20"/>
    <mergeCell ref="A22:H22"/>
    <mergeCell ref="A23:H23"/>
  </mergeCells>
  <conditionalFormatting sqref="F18">
    <cfRule type="cellIs" priority="2" operator="greaterThan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8" min="5" style="0" width="14"/>
  </cols>
  <sheetData>
    <row r="1" customFormat="false" ht="20.1" hidden="false" customHeight="false" outlineLevel="0" collapsed="false">
      <c r="A1" s="5" t="s">
        <v>93</v>
      </c>
      <c r="B1" s="5"/>
      <c r="C1" s="5"/>
      <c r="D1" s="5"/>
      <c r="E1" s="5"/>
      <c r="F1" s="5"/>
      <c r="G1" s="5"/>
      <c r="H1" s="5"/>
    </row>
    <row r="2" customFormat="false" ht="17.15" hidden="false" customHeight="false" outlineLevel="0" collapsed="false">
      <c r="A2" s="18" t="s">
        <v>73</v>
      </c>
      <c r="C2" s="19"/>
      <c r="D2" s="20" t="s">
        <v>94</v>
      </c>
      <c r="E2" s="20"/>
      <c r="F2" s="20"/>
      <c r="G2" s="20"/>
      <c r="H2" s="20"/>
    </row>
    <row r="3" customFormat="false" ht="15" hidden="false" customHeight="false" outlineLevel="0" collapsed="false">
      <c r="A3" s="18" t="s">
        <v>75</v>
      </c>
      <c r="C3" s="21" t="s">
        <v>95</v>
      </c>
      <c r="D3" s="21"/>
      <c r="E3" s="21"/>
      <c r="F3" s="21"/>
      <c r="G3" s="21"/>
      <c r="H3" s="21"/>
    </row>
    <row r="5" customFormat="false" ht="36" hidden="false" customHeight="true" outlineLevel="0" collapsed="false">
      <c r="A5" s="7" t="s">
        <v>40</v>
      </c>
      <c r="B5" s="8" t="s">
        <v>41</v>
      </c>
      <c r="C5" s="8" t="s">
        <v>77</v>
      </c>
      <c r="D5" s="8" t="s">
        <v>78</v>
      </c>
      <c r="E5" s="8" t="s">
        <v>79</v>
      </c>
      <c r="F5" s="8" t="s">
        <v>80</v>
      </c>
      <c r="G5" s="8" t="s">
        <v>81</v>
      </c>
      <c r="H5" s="8" t="s">
        <v>82</v>
      </c>
    </row>
    <row r="6" customFormat="false" ht="15" hidden="false" customHeight="false" outlineLevel="0" collapsed="false">
      <c r="A6" s="9" t="n">
        <v>1</v>
      </c>
      <c r="B6" s="22" t="str">
        <f aca="false">개입_파라미터!B5</f>
        <v>비상샤워·세안기 통합형</v>
      </c>
      <c r="C6" s="23" t="n">
        <f aca="false">개입_파라미터!C5</f>
        <v>0</v>
      </c>
      <c r="D6" s="11"/>
      <c r="E6" s="24"/>
      <c r="F6" s="25" t="n">
        <f aca="false">IFERROR(C6*E6,"")</f>
        <v>0</v>
      </c>
      <c r="G6" s="25" t="n">
        <f aca="false">IFERROR(개입_파라미터!D5*E6,"")</f>
        <v>0</v>
      </c>
      <c r="H6" s="26"/>
    </row>
    <row r="7" customFormat="false" ht="15" hidden="false" customHeight="false" outlineLevel="0" collapsed="false">
      <c r="A7" s="9" t="n">
        <v>2</v>
      </c>
      <c r="B7" s="22" t="str">
        <f aca="false">개입_파라미터!B6</f>
        <v>가스차단밸브</v>
      </c>
      <c r="C7" s="23" t="n">
        <f aca="false">개입_파라미터!C6</f>
        <v>0</v>
      </c>
      <c r="D7" s="11"/>
      <c r="E7" s="24"/>
      <c r="F7" s="25" t="n">
        <f aca="false">IFERROR(C7*E7,"")</f>
        <v>0</v>
      </c>
      <c r="G7" s="25" t="n">
        <f aca="false">IFERROR(개입_파라미터!D6*E7,"")</f>
        <v>0</v>
      </c>
      <c r="H7" s="26"/>
    </row>
    <row r="8" customFormat="false" ht="15" hidden="false" customHeight="false" outlineLevel="0" collapsed="false">
      <c r="A8" s="9" t="n">
        <v>3</v>
      </c>
      <c r="B8" s="22" t="str">
        <f aca="false">개입_파라미터!B7</f>
        <v>소화포·응급처치함 세트</v>
      </c>
      <c r="C8" s="23" t="n">
        <f aca="false">개입_파라미터!C7</f>
        <v>0</v>
      </c>
      <c r="D8" s="11"/>
      <c r="E8" s="24"/>
      <c r="F8" s="25" t="n">
        <f aca="false">IFERROR(C8*E8,"")</f>
        <v>0</v>
      </c>
      <c r="G8" s="25" t="n">
        <f aca="false">IFERROR(개입_파라미터!D7*E8,"")</f>
        <v>0</v>
      </c>
      <c r="H8" s="26"/>
    </row>
    <row r="9" customFormat="false" ht="15" hidden="false" customHeight="false" outlineLevel="0" collapsed="false">
      <c r="A9" s="9" t="n">
        <v>4</v>
      </c>
      <c r="B9" s="22" t="str">
        <f aca="false">개입_파라미터!B8</f>
        <v>흄후드 (신규/교체)</v>
      </c>
      <c r="C9" s="23" t="n">
        <f aca="false">개입_파라미터!C8</f>
        <v>0</v>
      </c>
      <c r="D9" s="11"/>
      <c r="E9" s="24"/>
      <c r="F9" s="25" t="n">
        <f aca="false">IFERROR(C9*E9,"")</f>
        <v>0</v>
      </c>
      <c r="G9" s="25" t="n">
        <f aca="false">IFERROR(개입_파라미터!D8*E9,"")</f>
        <v>0</v>
      </c>
      <c r="H9" s="26"/>
    </row>
    <row r="10" customFormat="false" ht="15" hidden="false" customHeight="false" outlineLevel="0" collapsed="false">
      <c r="A10" s="9" t="n">
        <v>5</v>
      </c>
      <c r="B10" s="22" t="str">
        <f aca="false">개입_파라미터!B9</f>
        <v>국소배기장치</v>
      </c>
      <c r="C10" s="23" t="n">
        <f aca="false">개입_파라미터!C9</f>
        <v>0</v>
      </c>
      <c r="D10" s="11"/>
      <c r="E10" s="24"/>
      <c r="F10" s="25" t="n">
        <f aca="false">IFERROR(C10*E10,"")</f>
        <v>0</v>
      </c>
      <c r="G10" s="25" t="n">
        <f aca="false">IFERROR(개입_파라미터!D9*E10,"")</f>
        <v>0</v>
      </c>
      <c r="H10" s="26"/>
    </row>
    <row r="11" customFormat="false" ht="15" hidden="false" customHeight="false" outlineLevel="0" collapsed="false">
      <c r="A11" s="9" t="n">
        <v>6</v>
      </c>
      <c r="B11" s="22" t="str">
        <f aca="false">개입_파라미터!B10</f>
        <v>시약장 잠금형 교체</v>
      </c>
      <c r="C11" s="23" t="n">
        <f aca="false">개입_파라미터!C10</f>
        <v>0</v>
      </c>
      <c r="D11" s="11"/>
      <c r="E11" s="24"/>
      <c r="F11" s="25" t="n">
        <f aca="false">IFERROR(C11*E11,"")</f>
        <v>0</v>
      </c>
      <c r="G11" s="25" t="n">
        <f aca="false">IFERROR(개입_파라미터!D10*E11,"")</f>
        <v>0</v>
      </c>
      <c r="H11" s="26"/>
    </row>
    <row r="12" customFormat="false" ht="15" hidden="false" customHeight="false" outlineLevel="0" collapsed="false">
      <c r="A12" s="9" t="n">
        <v>7</v>
      </c>
      <c r="B12" s="22" t="str">
        <f aca="false">개입_파라미터!B11</f>
        <v>폐액용기·폐기물 보관 세트</v>
      </c>
      <c r="C12" s="23" t="n">
        <f aca="false">개입_파라미터!C11</f>
        <v>0</v>
      </c>
      <c r="D12" s="11"/>
      <c r="E12" s="24"/>
      <c r="F12" s="25" t="n">
        <f aca="false">IFERROR(C12*E12,"")</f>
        <v>0</v>
      </c>
      <c r="G12" s="25" t="n">
        <f aca="false">IFERROR(개입_파라미터!D11*E12,"")</f>
        <v>0</v>
      </c>
      <c r="H12" s="26"/>
    </row>
    <row r="13" customFormat="false" ht="15" hidden="false" customHeight="false" outlineLevel="0" collapsed="false">
      <c r="A13" s="9" t="n">
        <v>8</v>
      </c>
      <c r="B13" s="22" t="str">
        <f aca="false">개입_파라미터!B12</f>
        <v>가스누출감지기</v>
      </c>
      <c r="C13" s="23" t="n">
        <f aca="false">개입_파라미터!C12</f>
        <v>0</v>
      </c>
      <c r="D13" s="11"/>
      <c r="E13" s="24"/>
      <c r="F13" s="25" t="n">
        <f aca="false">IFERROR(C13*E13,"")</f>
        <v>0</v>
      </c>
      <c r="G13" s="25" t="n">
        <f aca="false">IFERROR(개입_파라미터!D12*E13,"")</f>
        <v>0</v>
      </c>
      <c r="H13" s="26"/>
    </row>
    <row r="14" customFormat="false" ht="15" hidden="false" customHeight="false" outlineLevel="0" collapsed="false">
      <c r="A14" s="9" t="n">
        <v>9</v>
      </c>
      <c r="B14" s="22" t="str">
        <f aca="false">개입_파라미터!B13</f>
        <v>PPE 세트 (30인 기준)</v>
      </c>
      <c r="C14" s="23" t="n">
        <f aca="false">개입_파라미터!C13</f>
        <v>0</v>
      </c>
      <c r="D14" s="11"/>
      <c r="E14" s="24"/>
      <c r="F14" s="25" t="n">
        <f aca="false">IFERROR(C14*E14,"")</f>
        <v>0</v>
      </c>
      <c r="G14" s="25" t="n">
        <f aca="false">IFERROR(개입_파라미터!D13*E14,"")</f>
        <v>0</v>
      </c>
      <c r="H14" s="26"/>
    </row>
    <row r="15" customFormat="false" ht="15" hidden="false" customHeight="false" outlineLevel="0" collapsed="false">
      <c r="A15" s="9" t="n">
        <v>10</v>
      </c>
      <c r="B15" s="22" t="str">
        <f aca="false">개입_파라미터!B14</f>
        <v>MSDS 비치함 + 안전수칙 게시판</v>
      </c>
      <c r="C15" s="23" t="n">
        <f aca="false">개입_파라미터!C14</f>
        <v>0</v>
      </c>
      <c r="D15" s="11"/>
      <c r="E15" s="24"/>
      <c r="F15" s="25" t="n">
        <f aca="false">IFERROR(C15*E15,"")</f>
        <v>0</v>
      </c>
      <c r="G15" s="25" t="n">
        <f aca="false">IFERROR(개입_파라미터!D14*E15,"")</f>
        <v>0</v>
      </c>
      <c r="H15" s="26"/>
    </row>
    <row r="17" customFormat="false" ht="15" hidden="false" customHeight="false" outlineLevel="0" collapsed="false">
      <c r="A17" s="27" t="s">
        <v>83</v>
      </c>
      <c r="B17" s="27"/>
      <c r="C17" s="27"/>
      <c r="F17" s="28" t="n">
        <f aca="false">SUM(F6:F15)</f>
        <v>0</v>
      </c>
      <c r="G17" s="28" t="n">
        <f aca="false">SUM(G6:G15)</f>
        <v>0</v>
      </c>
    </row>
    <row r="18" customFormat="false" ht="15" hidden="false" customHeight="false" outlineLevel="0" collapsed="false">
      <c r="A18" s="27" t="s">
        <v>84</v>
      </c>
      <c r="B18" s="27"/>
      <c r="C18" s="27"/>
      <c r="F18" s="29" t="str">
        <f aca="false">IFERROR(F17/C2,"")</f>
        <v/>
      </c>
    </row>
    <row r="19" customFormat="false" ht="17.15" hidden="false" customHeight="false" outlineLevel="0" collapsed="false">
      <c r="A19" s="27" t="s">
        <v>85</v>
      </c>
      <c r="B19" s="27"/>
      <c r="C19" s="27"/>
      <c r="G19" s="30" t="str">
        <f aca="false">IFERROR(G17/SUMPRODUCT(개입_파라미터!D5:D14,D6:D15),"")</f>
        <v/>
      </c>
    </row>
    <row r="20" customFormat="false" ht="15" hidden="false" customHeight="false" outlineLevel="0" collapsed="false">
      <c r="A20" s="20" t="s">
        <v>86</v>
      </c>
      <c r="B20" s="20"/>
      <c r="C20" s="20"/>
      <c r="D20" s="31" t="n">
        <f aca="false">SUM(D6:D15)</f>
        <v>0</v>
      </c>
      <c r="E20" s="31" t="n">
        <f aca="false">SUM(E6:E15)</f>
        <v>0</v>
      </c>
      <c r="F20" s="32" t="s">
        <v>87</v>
      </c>
    </row>
    <row r="22" customFormat="false" ht="17.15" hidden="false" customHeight="false" outlineLevel="0" collapsed="false">
      <c r="A22" s="33" t="s">
        <v>88</v>
      </c>
      <c r="B22" s="33"/>
      <c r="C22" s="33"/>
      <c r="D22" s="33"/>
      <c r="E22" s="33"/>
      <c r="F22" s="33"/>
      <c r="G22" s="33"/>
      <c r="H22" s="33"/>
    </row>
    <row r="23" customFormat="false" ht="15" hidden="false" customHeight="true" outlineLevel="0" collapsed="false">
      <c r="A23" s="34" t="s">
        <v>89</v>
      </c>
      <c r="B23" s="34"/>
      <c r="C23" s="34"/>
      <c r="D23" s="34"/>
      <c r="E23" s="34"/>
      <c r="F23" s="34"/>
      <c r="G23" s="34"/>
      <c r="H23" s="34"/>
    </row>
  </sheetData>
  <mergeCells count="9">
    <mergeCell ref="A1:H1"/>
    <mergeCell ref="D2:H2"/>
    <mergeCell ref="C3:H3"/>
    <mergeCell ref="A17:C17"/>
    <mergeCell ref="A18:C18"/>
    <mergeCell ref="A19:C19"/>
    <mergeCell ref="A20:C20"/>
    <mergeCell ref="A22:H22"/>
    <mergeCell ref="A23:H23"/>
  </mergeCells>
  <conditionalFormatting sqref="F18">
    <cfRule type="cellIs" priority="2" operator="greaterThan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22"/>
  </cols>
  <sheetData>
    <row r="1" customFormat="false" ht="20.1" hidden="false" customHeight="false" outlineLevel="0" collapsed="false">
      <c r="A1" s="5" t="s">
        <v>96</v>
      </c>
      <c r="B1" s="5"/>
      <c r="C1" s="5"/>
      <c r="D1" s="5"/>
      <c r="E1" s="5"/>
    </row>
    <row r="2" customFormat="false" ht="14.15" hidden="false" customHeight="false" outlineLevel="0" collapsed="false">
      <c r="A2" s="20" t="s">
        <v>97</v>
      </c>
      <c r="B2" s="20"/>
      <c r="C2" s="20"/>
      <c r="D2" s="20"/>
      <c r="E2" s="20"/>
    </row>
    <row r="4" customFormat="false" ht="24" hidden="false" customHeight="true" outlineLevel="0" collapsed="false">
      <c r="A4" s="8" t="s">
        <v>98</v>
      </c>
      <c r="B4" s="8" t="s">
        <v>99</v>
      </c>
      <c r="C4" s="8" t="s">
        <v>100</v>
      </c>
      <c r="D4" s="8" t="s">
        <v>101</v>
      </c>
      <c r="E4" s="8" t="s">
        <v>102</v>
      </c>
    </row>
    <row r="5" customFormat="false" ht="17.15" hidden="false" customHeight="false" outlineLevel="0" collapsed="false">
      <c r="A5" s="35" t="s">
        <v>103</v>
      </c>
      <c r="B5" s="25" t="n">
        <f aca="false">시나리오_소규모!C2</f>
        <v>0</v>
      </c>
      <c r="C5" s="25" t="n">
        <f aca="false">시나리오_소규모!D20</f>
        <v>0</v>
      </c>
      <c r="D5" s="25" t="n">
        <f aca="false">시나리오_소규모!E20</f>
        <v>0</v>
      </c>
      <c r="E5" s="36" t="str">
        <f aca="false">시나리오_소규모!G19</f>
        <v/>
      </c>
    </row>
    <row r="6" customFormat="false" ht="17.15" hidden="false" customHeight="false" outlineLevel="0" collapsed="false">
      <c r="A6" s="35" t="s">
        <v>104</v>
      </c>
      <c r="B6" s="25" t="n">
        <f aca="false">시나리오_중규모!C2</f>
        <v>0</v>
      </c>
      <c r="C6" s="25" t="n">
        <f aca="false">시나리오_중규모!D20</f>
        <v>0</v>
      </c>
      <c r="D6" s="25" t="n">
        <f aca="false">시나리오_중규모!E20</f>
        <v>0</v>
      </c>
      <c r="E6" s="36" t="str">
        <f aca="false">시나리오_중규모!G19</f>
        <v/>
      </c>
    </row>
    <row r="7" customFormat="false" ht="17.15" hidden="false" customHeight="false" outlineLevel="0" collapsed="false">
      <c r="A7" s="35" t="s">
        <v>105</v>
      </c>
      <c r="B7" s="25" t="n">
        <f aca="false">시나리오_확장!C2</f>
        <v>0</v>
      </c>
      <c r="C7" s="25" t="n">
        <f aca="false">시나리오_확장!D20</f>
        <v>0</v>
      </c>
      <c r="D7" s="25" t="n">
        <f aca="false">시나리오_확장!E20</f>
        <v>0</v>
      </c>
      <c r="E7" s="36" t="str">
        <f aca="false">시나리오_확장!G19</f>
        <v/>
      </c>
    </row>
    <row r="9" customFormat="false" ht="17.15" hidden="false" customHeight="false" outlineLevel="0" collapsed="false">
      <c r="A9" s="33" t="s">
        <v>106</v>
      </c>
      <c r="B9" s="33"/>
      <c r="C9" s="33"/>
      <c r="D9" s="33"/>
      <c r="E9" s="33"/>
    </row>
    <row r="10" customFormat="false" ht="15" hidden="false" customHeight="false" outlineLevel="0" collapsed="false">
      <c r="A10" s="37" t="s">
        <v>107</v>
      </c>
      <c r="B10" s="37"/>
      <c r="C10" s="37"/>
      <c r="D10" s="37"/>
      <c r="E10" s="37"/>
    </row>
    <row r="11" customFormat="false" ht="17.15" hidden="false" customHeight="false" outlineLevel="0" collapsed="false">
      <c r="A11" s="38" t="str">
        <f aca="false">"치환 후: 예산 "&amp;TEXT(B6,"#,##0")&amp;"만원을 배분하면, 전국 위험도가 "&amp;TEXT(E6,"0.0%")&amp;" 감소합니다."</f>
        <v>치환 후: 예산 0만원을 배분하면, 전국 위험도가  감소합니다.</v>
      </c>
      <c r="B11" s="38"/>
      <c r="C11" s="38"/>
      <c r="D11" s="38"/>
      <c r="E11" s="38"/>
    </row>
    <row r="13" customFormat="false" ht="17.15" hidden="false" customHeight="false" outlineLevel="0" collapsed="false">
      <c r="A13" s="33" t="s">
        <v>108</v>
      </c>
      <c r="B13" s="33"/>
      <c r="C13" s="33"/>
      <c r="D13" s="33"/>
      <c r="E13" s="33"/>
    </row>
    <row r="14" customFormat="false" ht="15" hidden="false" customHeight="false" outlineLevel="0" collapsed="false">
      <c r="A14" s="39" t="str">
        <f aca="false">"소규모 → "&amp;TEXT(E5,"0.0%")&amp;" 감소"</f>
        <v>소규모 →  감소</v>
      </c>
      <c r="B14" s="39"/>
      <c r="C14" s="39"/>
      <c r="D14" s="39"/>
      <c r="E14" s="39"/>
    </row>
    <row r="15" customFormat="false" ht="15" hidden="false" customHeight="false" outlineLevel="0" collapsed="false">
      <c r="A15" s="39" t="str">
        <f aca="false">"중규모 → "&amp;TEXT(E6,"0.0%")&amp;" 감소"</f>
        <v>중규모 →  감소</v>
      </c>
      <c r="B15" s="39"/>
      <c r="C15" s="39"/>
      <c r="D15" s="39"/>
      <c r="E15" s="39"/>
    </row>
    <row r="16" customFormat="false" ht="15" hidden="false" customHeight="false" outlineLevel="0" collapsed="false">
      <c r="A16" s="39" t="str">
        <f aca="false">"확장 → "&amp;TEXT(E7,"0.0%")&amp;" 감소"</f>
        <v>확장 →  감소</v>
      </c>
      <c r="B16" s="39"/>
      <c r="C16" s="39"/>
      <c r="D16" s="39"/>
      <c r="E16" s="39"/>
    </row>
    <row r="18" customFormat="false" ht="14.15" hidden="false" customHeight="false" outlineLevel="0" collapsed="false">
      <c r="A18" s="20" t="s">
        <v>109</v>
      </c>
      <c r="B18" s="20"/>
      <c r="C18" s="20"/>
      <c r="D18" s="20"/>
      <c r="E18" s="20"/>
    </row>
  </sheetData>
  <mergeCells count="10">
    <mergeCell ref="A1:E1"/>
    <mergeCell ref="A2:E2"/>
    <mergeCell ref="A9:E9"/>
    <mergeCell ref="A10:E10"/>
    <mergeCell ref="A11:E11"/>
    <mergeCell ref="A13:E13"/>
    <mergeCell ref="A14:E14"/>
    <mergeCell ref="A15:E15"/>
    <mergeCell ref="A16:E16"/>
    <mergeCell ref="A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2026-04-23T04:22:48Z</dcterms:created>
  <dc:creator>openpyxl</dc:creator>
  <dc:description/>
  <dc:language>en-US</dc:language>
  <cp:lastModifiedBy/>
  <dcterms:modified xsi:type="dcterms:W3CDTF">2026-04-23T04:22:48Z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