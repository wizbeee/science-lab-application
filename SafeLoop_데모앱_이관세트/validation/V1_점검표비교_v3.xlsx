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메인_교육부표준2020" sheetId="2" state="visible" r:id="rId2"/>
    <sheet xmlns:r="http://schemas.openxmlformats.org/officeDocument/2006/relationships" name="AI매핑_교육부" sheetId="3" state="visible" r:id="rId3"/>
    <sheet xmlns:r="http://schemas.openxmlformats.org/officeDocument/2006/relationships" name="지표_요약" sheetId="4" state="visible" r:id="rId4"/>
    <sheet xmlns:r="http://schemas.openxmlformats.org/officeDocument/2006/relationships" name="부록_서울" sheetId="5" state="visible" r:id="rId5"/>
    <sheet xmlns:r="http://schemas.openxmlformats.org/officeDocument/2006/relationships" name="부록_경기" sheetId="6" state="visible" r:id="rId6"/>
    <sheet xmlns:r="http://schemas.openxmlformats.org/officeDocument/2006/relationships" name="슬라이드11_치환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sz val="11"/>
    </font>
    <font>
      <name val="Noto Sans CJK KR"/>
      <family val="2"/>
      <b val="1"/>
      <sz val="11"/>
    </font>
    <font>
      <name val="Noto Sans CJK KR"/>
      <family val="2"/>
      <sz val="10"/>
    </font>
    <font>
      <name val="맑은 고딕"/>
      <charset val="1"/>
      <family val="0"/>
      <sz val="10"/>
    </font>
    <font>
      <name val="Noto Sans CJK KR"/>
      <family val="2"/>
      <b val="1"/>
      <sz val="13"/>
    </font>
    <font>
      <name val="맑은 고딕"/>
      <charset val="1"/>
      <family val="0"/>
      <b val="1"/>
      <sz val="13"/>
    </font>
    <font>
      <name val="Noto Sans CJK KR"/>
      <family val="2"/>
      <color rgb="FF555555"/>
      <sz val="9"/>
    </font>
    <font>
      <name val="맑은 고딕"/>
      <charset val="1"/>
      <family val="0"/>
      <color rgb="FF555555"/>
      <sz val="9"/>
    </font>
    <font>
      <name val="맑은 고딕"/>
      <charset val="1"/>
      <family val="0"/>
      <b val="1"/>
      <color rgb="FFFFFFFF"/>
      <sz val="11"/>
    </font>
    <font>
      <name val="Noto Sans CJK KR"/>
      <family val="2"/>
      <b val="1"/>
      <color rgb="FFFFFFFF"/>
      <sz val="11"/>
    </font>
    <font>
      <name val="Noto Sans CJK KR"/>
      <family val="2"/>
      <color theme="1"/>
      <sz val="11"/>
    </font>
    <font>
      <name val="맑은 고딕"/>
      <charset val="1"/>
      <family val="0"/>
      <b val="1"/>
      <color rgb="FFFFFFFF"/>
      <sz val="14"/>
    </font>
    <font>
      <name val="맑은 고딕"/>
      <b val="1"/>
      <sz val="13"/>
    </font>
    <font>
      <name val="맑은 고딕"/>
      <color rgb="00555555"/>
      <sz val="9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0"/>
    </font>
  </fonts>
  <fills count="12">
    <fill>
      <patternFill/>
    </fill>
    <fill>
      <patternFill patternType="gray125"/>
    </fill>
    <fill>
      <patternFill patternType="solid">
        <fgColor rgb="FF1F2023"/>
        <bgColor rgb="FF333300"/>
      </patternFill>
    </fill>
    <fill>
      <patternFill patternType="solid">
        <fgColor rgb="FFFFCCBC"/>
        <bgColor rgb="FFCCCCCC"/>
      </patternFill>
    </fill>
    <fill>
      <patternFill patternType="solid">
        <fgColor rgb="FFF2F2F2"/>
        <bgColor rgb="FFFFF8E1"/>
      </patternFill>
    </fill>
    <fill>
      <patternFill patternType="solid">
        <fgColor rgb="FFE1F5FE"/>
        <bgColor rgb="FFF2F2F2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FF8E1"/>
      </patternFill>
    </fill>
    <fill>
      <patternFill patternType="solid">
        <fgColor rgb="FFD50000"/>
        <bgColor rgb="FF800000"/>
      </patternFill>
    </fill>
    <fill>
      <patternFill patternType="solid">
        <fgColor rgb="FFFFF8E1"/>
        <bgColor rgb="FFFFF9C4"/>
      </patternFill>
    </fill>
    <fill>
      <patternFill patternType="solid">
        <fgColor rgb="001F2023"/>
      </patternFill>
    </fill>
    <fill>
      <patternFill patternType="solid">
        <fgColor rgb="00FFCCB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5" fillId="8" borderId="0" applyAlignment="1" pivotButton="0" quotePrefix="0" xfId="0">
      <alignment horizontal="center" vertical="center" wrapText="1"/>
    </xf>
    <xf numFmtId="1" fontId="15" fillId="8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164" fontId="15" fillId="8" borderId="1" applyAlignment="1" pivotButton="0" quotePrefix="0" xfId="0">
      <alignment horizontal="center" vertical="center" wrapText="1"/>
    </xf>
    <xf numFmtId="1" fontId="1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9" fillId="11" borderId="2" pivotButton="0" quotePrefix="0" xfId="0"/>
    <xf numFmtId="0" fontId="20" fillId="0" borderId="2" pivotButton="0" quotePrefix="0" xfId="0"/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15" fillId="8" borderId="0" applyAlignment="1" pivotButton="0" quotePrefix="0" xfId="0">
      <alignment horizontal="center" vertical="center" wrapText="1"/>
    </xf>
    <xf numFmtId="1" fontId="15" fillId="8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164" fontId="15" fillId="8" borderId="1" applyAlignment="1" pivotButton="0" quotePrefix="0" xfId="0">
      <alignment horizontal="center" vertical="center" wrapText="1"/>
    </xf>
    <xf numFmtId="1" fontId="15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5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1F5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8E1"/>
      <rgbColor rgb="FF99CCFF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0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5" customWidth="1" style="41" min="1" max="1"/>
  </cols>
  <sheetData>
    <row r="1" ht="17.15" customHeight="1" s="42">
      <c r="A1" s="43" t="inlineStr">
        <is>
          <t>V-1 점검표 비교 v3 — 메인: 교육부 표준 / 부록: 서울·경기</t>
        </is>
      </c>
    </row>
    <row r="2" ht="15" customHeight="1" s="42">
      <c r="A2" s="44" t="n"/>
    </row>
    <row r="3" ht="17.15" customHeight="1" s="42">
      <c r="A3" s="43" t="inlineStr">
        <is>
          <t>[비교 구성]</t>
        </is>
      </c>
    </row>
    <row r="4" ht="15" customHeight="1" s="42">
      <c r="A4" s="45" t="inlineStr">
        <is>
          <t>• 메인: 교육부 학교안전총괄과 「학교안전점검의날 점검체크리스트 및 가이드」(2020) — 전국 표준</t>
        </is>
      </c>
    </row>
    <row r="5" ht="15" customHeight="1" s="42">
      <c r="A5" s="45" t="inlineStr">
        <is>
          <t>• 부록 1: 서울특별시교육청 [서식 A-1-3] 안전점검의 날 체크리스트 (학생수 14.8% 표본)</t>
        </is>
      </c>
    </row>
    <row r="6" ht="15" customHeight="1" s="42">
      <c r="A6" s="45" t="inlineStr">
        <is>
          <t>• 부록 2: 경기도교육청 「2025 과학실 안전관리 계획」 자체점검표 (학생수 28.7% 표본)</t>
        </is>
      </c>
    </row>
    <row r="7" ht="15" customHeight="1" s="42">
      <c r="A7" s="44" t="n"/>
    </row>
    <row r="8" ht="17.15" customHeight="1" s="42">
      <c r="A8" s="43" t="inlineStr">
        <is>
          <t>[비교 차원 통일]</t>
        </is>
      </c>
    </row>
    <row r="9" ht="15" customHeight="1" s="42">
      <c r="A9" s="45" t="inlineStr">
        <is>
          <t>• 모든 비교는 '실험실 영역'에 한정합니다. AI 27항목이 화학실 맞춤이므로 차원이 일치합니다.</t>
        </is>
      </c>
    </row>
    <row r="10" ht="15" customHeight="1" s="42">
      <c r="A10" s="45" t="inlineStr">
        <is>
          <t>• 교육부 표준 6개 영역 중 '2. 실험실' 8항목만 AI와 직접 매핑합니다.</t>
        </is>
      </c>
    </row>
    <row r="11" ht="15" customHeight="1" s="42">
      <c r="A11" s="45" t="inlineStr">
        <is>
          <t>• 메인 시트에서 다른 영역(교실·건축물·통학로 등) 항목은 비교에 사용되지 않아 제외했습니다.</t>
        </is>
      </c>
    </row>
    <row r="12" ht="15" customHeight="1" s="42">
      <c r="A12" s="44" t="n"/>
    </row>
    <row r="13" ht="17.15" customHeight="1" s="42">
      <c r="A13" s="43" t="inlineStr">
        <is>
          <t>[표본 정당화]</t>
        </is>
      </c>
    </row>
    <row r="14" ht="15" customHeight="1" s="42">
      <c r="A14" s="45" t="inlineStr">
        <is>
          <t>• 메인 비교는 교육부 발행 전국 표준이므로 시도 표본 논쟁이 발생하지 않습니다.</t>
        </is>
      </c>
    </row>
    <row r="15" ht="15" customHeight="1" s="42">
      <c r="A15" s="45" t="inlineStr">
        <is>
          <t>• 부록 비교 두 시도(서울+경기)는 전국 초·중·고 학생의 약 43.5%를 책임지는 광역지자체입니다.</t>
        </is>
      </c>
    </row>
    <row r="16" ht="15" customHeight="1" s="42">
      <c r="A16" s="45" t="inlineStr">
        <is>
          <t>• 학생 수 출처: 학교알리미 2025년 성별 학생수 데이터 (본 프로젝트 1단계 결합 데이터)</t>
        </is>
      </c>
    </row>
    <row r="17" ht="15" customHeight="1" s="42">
      <c r="A17" s="44" t="n"/>
    </row>
    <row r="18" ht="17.15" customHeight="1" s="42">
      <c r="A18" s="43" t="inlineStr">
        <is>
          <t>[프레임 — 담당자 업무 부담 관점]</t>
        </is>
      </c>
    </row>
    <row r="19" ht="29.85" customHeight="1" s="42">
      <c r="A19" s="45" t="inlineStr">
        <is>
          <t>• 교육부 표준은 '공통 핵심 항목'을 다루며, 공간별 세부 적용은 학교 담당자가 관련 법령(학교보건법·산업안전보건법·소방시설법·위험물안전관리법 등)을 찾아 적용하도록 안내합니다.</t>
        </is>
      </c>
    </row>
    <row r="20" ht="15" customHeight="1" s="42">
      <c r="A20" s="45" t="inlineStr">
        <is>
          <t>• 이 다중 법령 매핑·해석이 담당자(교사·시설관리자)에게 누적 업무 부담이 되며, 누락 위험이 상존합니다.</t>
        </is>
      </c>
    </row>
    <row r="21" ht="15" customHeight="1" s="42">
      <c r="A21" s="46" t="inlineStr">
        <is>
          <t>• AI 맞춤 점검표는 이 적용 부담을 자동 매핑하여 해소합니다.</t>
        </is>
      </c>
    </row>
    <row r="22" ht="15" customHeight="1" s="42">
      <c r="A22" s="44" t="n"/>
    </row>
    <row r="23" ht="17.15" customHeight="1" s="42">
      <c r="A23" s="43" t="inlineStr">
        <is>
          <t>[지표 정의]</t>
        </is>
      </c>
    </row>
    <row r="24" ht="15" customHeight="1" s="42">
      <c r="A24" s="45" t="inlineStr">
        <is>
          <t>• 공통 보존율 = (공통 + 부분공통) / AI 전체 — AI가 기존 표준의 핵심 항목을 보존하는 비율</t>
        </is>
      </c>
    </row>
    <row r="25" ht="15" customHeight="1" s="42">
      <c r="A25" s="45" t="inlineStr">
        <is>
          <t>• 법령 자동 적용률 = AI보완 / AI 전체 — AI가 다중 법령 적용을 자동화한 비율 (담당자 부담 경감)</t>
        </is>
      </c>
    </row>
    <row r="26" ht="15" customHeight="1" s="42">
      <c r="A26" s="45" t="inlineStr">
        <is>
          <t>• 자동 보완 항목 수 = AI보완의 절대 개수 — AI가 추가로 자동 매핑한 법정 필수 항목</t>
        </is>
      </c>
    </row>
    <row r="27" ht="15" customHeight="1" s="42">
      <c r="A27" s="44" t="n"/>
    </row>
    <row r="28" ht="17.15" customHeight="1" s="42">
      <c r="A28" s="43" t="inlineStr">
        <is>
          <t>[슬라이드 11 치환]</t>
        </is>
      </c>
    </row>
    <row r="29" ht="15" customHeight="1" s="42">
      <c r="A29" s="45" t="inlineStr">
        <is>
          <t>• 메인 수치(교육부 표준 비교)를 슬라이드 11 TBD 3개에 반영합니다.</t>
        </is>
      </c>
    </row>
    <row r="30" ht="15" customHeight="1" s="42">
      <c r="A30" s="45" t="inlineStr">
        <is>
          <t>• 부록 수치(서울·경기)는 Q&amp;A 자료로 활용합니다.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1" min="1" max="1"/>
    <col width="22" customWidth="1" style="41" min="2" max="2"/>
    <col width="14" customWidth="1" style="41" min="3" max="3"/>
    <col width="60" customWidth="1" style="41" min="4" max="4"/>
  </cols>
  <sheetData>
    <row r="1" ht="20.1" customHeight="1" s="42">
      <c r="A1" s="47" t="inlineStr">
        <is>
          <t>교육부 학교안전총괄과 「학교안전점검의날 체크리스트」(2020) — 실험실 영역</t>
        </is>
      </c>
    </row>
    <row r="2" ht="14.15" customHeight="1" s="42">
      <c r="A2" s="48" t="inlineStr">
        <is>
          <t>※ 본 시트는 비교에 사용한 실험실 영역 8항목만 보존합니다. (교육부 표준은 총 6영역 약 70항목, 그 중 실험실 영역만 추출)</t>
        </is>
      </c>
    </row>
    <row r="4" ht="24" customHeight="1" s="42">
      <c r="A4" s="49" t="inlineStr">
        <is>
          <t>#</t>
        </is>
      </c>
      <c r="B4" s="49" t="inlineStr">
        <is>
          <t>영역</t>
        </is>
      </c>
      <c r="C4" s="49" t="inlineStr">
        <is>
          <t>소분류</t>
        </is>
      </c>
      <c r="D4" s="49" t="inlineStr">
        <is>
          <t>세부 점검 항목</t>
        </is>
      </c>
    </row>
    <row r="5" ht="17.15" customHeight="1" s="42">
      <c r="A5" s="50" t="n">
        <v>1</v>
      </c>
      <c r="B5" s="51" t="inlineStr">
        <is>
          <t>2. 실험실</t>
        </is>
      </c>
      <c r="C5" s="50" t="inlineStr">
        <is>
          <t>안전계획</t>
        </is>
      </c>
      <c r="D5" s="52" t="inlineStr">
        <is>
          <t>안전수칙·대응요령 게시상태</t>
        </is>
      </c>
    </row>
    <row r="6" ht="17.15" customHeight="1" s="42">
      <c r="A6" s="50" t="n">
        <v>2</v>
      </c>
      <c r="B6" s="51" t="inlineStr">
        <is>
          <t>2. 실험실</t>
        </is>
      </c>
      <c r="C6" s="50" t="inlineStr">
        <is>
          <t>안전관리</t>
        </is>
      </c>
      <c r="D6" s="52" t="inlineStr">
        <is>
          <t>실험장구 구비(실험복·마스크·보안경)</t>
        </is>
      </c>
    </row>
    <row r="7" ht="17.15" customHeight="1" s="42">
      <c r="A7" s="50" t="n">
        <v>3</v>
      </c>
      <c r="B7" s="51" t="inlineStr">
        <is>
          <t>2. 실험실</t>
        </is>
      </c>
      <c r="C7" s="50" t="inlineStr">
        <is>
          <t>안전관리</t>
        </is>
      </c>
      <c r="D7" s="52" t="inlineStr">
        <is>
          <t>실험 중 사고대비(소화기·콘센트·비상구·대피로)</t>
        </is>
      </c>
    </row>
    <row r="8" ht="17.15" customHeight="1" s="42">
      <c r="A8" s="50" t="n">
        <v>4</v>
      </c>
      <c r="B8" s="51" t="inlineStr">
        <is>
          <t>2. 실험실</t>
        </is>
      </c>
      <c r="C8" s="50" t="inlineStr">
        <is>
          <t>안전관리</t>
        </is>
      </c>
      <c r="D8" s="52" t="inlineStr">
        <is>
          <t>시약보관(보관함·잠금·환기)</t>
        </is>
      </c>
    </row>
    <row r="9" ht="17.15" customHeight="1" s="42">
      <c r="A9" s="50" t="n">
        <v>5</v>
      </c>
      <c r="B9" s="51" t="inlineStr">
        <is>
          <t>2. 실험실</t>
        </is>
      </c>
      <c r="C9" s="50" t="inlineStr">
        <is>
          <t>안전관리</t>
        </is>
      </c>
      <c r="D9" s="52" t="inlineStr">
        <is>
          <t>특수시약관리(독극물·위험실험시약 보관/잠금)</t>
        </is>
      </c>
    </row>
    <row r="10" ht="17.15" customHeight="1" s="42">
      <c r="A10" s="50" t="n">
        <v>6</v>
      </c>
      <c r="B10" s="51" t="inlineStr">
        <is>
          <t>2. 실험실</t>
        </is>
      </c>
      <c r="C10" s="50" t="inlineStr">
        <is>
          <t>안전관리</t>
        </is>
      </c>
      <c r="D10" s="52" t="inlineStr">
        <is>
          <t>사후처리(청소·약품관리·출납대장)</t>
        </is>
      </c>
    </row>
    <row r="11" ht="17.15" customHeight="1" s="42">
      <c r="A11" s="50" t="n">
        <v>7</v>
      </c>
      <c r="B11" s="51" t="inlineStr">
        <is>
          <t>2. 실험실</t>
        </is>
      </c>
      <c r="C11" s="50" t="inlineStr">
        <is>
          <t>기타</t>
        </is>
      </c>
      <c r="D11" s="52" t="inlineStr">
        <is>
          <t>보안관리(잠금장치·CCTV)</t>
        </is>
      </c>
    </row>
    <row r="12" ht="17.15" customHeight="1" s="42">
      <c r="A12" s="50" t="n">
        <v>8</v>
      </c>
      <c r="B12" s="51" t="inlineStr">
        <is>
          <t>2. 실험실</t>
        </is>
      </c>
      <c r="C12" s="50" t="inlineStr">
        <is>
          <t>기타</t>
        </is>
      </c>
      <c r="D12" s="52" t="inlineStr">
        <is>
          <t>비상시 대비(대피로·비상연락망)</t>
        </is>
      </c>
    </row>
    <row r="13" ht="17.15" customHeight="1" s="42"/>
    <row r="14" ht="17.15" customHeight="1" s="42"/>
    <row r="15" ht="17.15" customHeight="1" s="42"/>
    <row r="16" ht="17.15" customHeight="1" s="42"/>
    <row r="17" ht="17.15" customHeight="1" s="42"/>
    <row r="18" ht="17.15" customHeight="1" s="42"/>
    <row r="19" ht="17.15" customHeight="1" s="42"/>
    <row r="20" ht="17.15" customHeight="1" s="42"/>
    <row r="21" ht="17.15" customHeight="1" s="42"/>
    <row r="22" ht="17.15" customHeight="1" s="42"/>
    <row r="23" ht="17.15" customHeight="1" s="42"/>
    <row r="24" ht="17.15" customHeight="1" s="42"/>
    <row r="25" ht="17.15" customHeight="1" s="42"/>
    <row r="26" ht="17.15" customHeight="1" s="42"/>
    <row r="27" ht="17.15" customHeight="1" s="42"/>
    <row r="28" ht="17.15" customHeight="1" s="42"/>
    <row r="29" ht="17.15" customHeight="1" s="42"/>
    <row r="30" ht="17.15" customHeight="1" s="42"/>
    <row r="31" ht="17.15" customHeight="1" s="42"/>
    <row r="32" ht="17.15" customHeight="1" s="42"/>
    <row r="33" ht="17.15" customHeight="1" s="42"/>
    <row r="34" ht="17.15" customHeight="1" s="42"/>
    <row r="35" ht="17.15" customHeight="1" s="42"/>
    <row r="36" ht="17.15" customHeight="1" s="42"/>
    <row r="37" ht="17.15" customHeight="1" s="42"/>
    <row r="38" ht="17.15" customHeight="1" s="42"/>
    <row r="39" ht="17.15" customHeight="1" s="42"/>
    <row r="40" ht="17.15" customHeight="1" s="42"/>
    <row r="41" ht="17.15" customHeight="1" s="42"/>
    <row r="42" ht="17.15" customHeight="1" s="42"/>
    <row r="43" ht="17.15" customHeight="1" s="42"/>
    <row r="44" ht="17.15" customHeight="1" s="42"/>
    <row r="45" ht="17.15" customHeight="1" s="42"/>
    <row r="46" ht="17.15" customHeight="1" s="42"/>
    <row r="47" ht="17.15" customHeight="1" s="42"/>
    <row r="48" ht="17.15" customHeight="1" s="42"/>
    <row r="49" ht="17.15" customHeight="1" s="42"/>
    <row r="50" ht="17.15" customHeight="1" s="42"/>
    <row r="51" ht="17.15" customHeight="1" s="42"/>
    <row r="52" ht="17.15" customHeight="1" s="42"/>
    <row r="53" ht="17.15" customHeight="1" s="42"/>
    <row r="54" ht="17.15" customHeight="1" s="42"/>
    <row r="55" ht="17.15" customHeight="1" s="42"/>
    <row r="56" ht="17.15" customHeight="1" s="42"/>
    <row r="57" ht="17.15" customHeight="1" s="42"/>
    <row r="58" ht="17.15" customHeight="1" s="42"/>
    <row r="59" ht="17.15" customHeight="1" s="42"/>
    <row r="60" ht="17.15" customHeight="1" s="42"/>
    <row r="61" ht="17.15" customHeight="1" s="42"/>
    <row r="62" ht="17.15" customHeight="1" s="42"/>
    <row r="63" ht="17.15" customHeight="1" s="42"/>
    <row r="64" ht="17.15" customHeight="1" s="42"/>
    <row r="65" ht="17.15" customHeight="1" s="42"/>
    <row r="66" ht="17.15" customHeight="1" s="42"/>
    <row r="67" ht="17.15" customHeight="1" s="42"/>
    <row r="68" ht="17.15" customHeight="1" s="42"/>
    <row r="69" ht="17.15" customHeight="1" s="42"/>
    <row r="70" ht="17.15" customHeight="1" s="42"/>
    <row r="71" ht="17.15" customHeight="1" s="42"/>
    <row r="72" ht="17.15" customHeight="1" s="42"/>
    <row r="73" ht="17.15" customHeight="1" s="42"/>
    <row r="74" ht="17.15" customHeight="1" s="42"/>
    <row r="75" ht="17.15" customHeight="1" s="42"/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1" min="1" max="1"/>
    <col width="18" customWidth="1" style="41" min="2" max="2"/>
    <col width="22" customWidth="1" style="41" min="3" max="3"/>
    <col width="14" customWidth="1" style="41" min="4" max="4"/>
    <col width="50" customWidth="1" style="41" min="5" max="5"/>
  </cols>
  <sheetData>
    <row r="1" ht="20.1" customHeight="1" s="42">
      <c r="A1" s="53" t="inlineStr">
        <is>
          <t>AI 27항목 × 교육부 표준 실험실 8항목 매핑 (메인)</t>
        </is>
      </c>
    </row>
    <row r="2" ht="14.15" customHeight="1" s="42">
      <c r="A2" s="54" t="inlineStr">
        <is>
          <t>AI 27항목 vs 교육부 표준 실험실 (8항목) · 매핑유형 드롭다운(공통/부분공통/AI보완)</t>
        </is>
      </c>
    </row>
    <row r="4" ht="24" customHeight="1" s="42">
      <c r="A4" s="55" t="inlineStr">
        <is>
          <t>#</t>
        </is>
      </c>
      <c r="B4" s="56" t="inlineStr">
        <is>
          <t>카테고리</t>
        </is>
      </c>
      <c r="C4" s="55" t="inlineStr">
        <is>
          <t>AI 맞춤 항목</t>
        </is>
      </c>
      <c r="D4" s="56" t="inlineStr">
        <is>
          <t>매핑유형</t>
        </is>
      </c>
      <c r="E4" s="56" t="inlineStr">
        <is>
          <t>매핑 근거</t>
        </is>
      </c>
    </row>
    <row r="5" ht="17.15" customHeight="1" s="42">
      <c r="A5" s="57" t="n">
        <v>1</v>
      </c>
      <c r="B5" s="58" t="inlineStr">
        <is>
          <t>비상 대응</t>
        </is>
      </c>
      <c r="C5" s="59" t="inlineStr">
        <is>
          <t>비상샤워</t>
        </is>
      </c>
      <c r="D5" s="60" t="inlineStr">
        <is>
          <t>AI보완</t>
        </is>
      </c>
      <c r="E5" s="61" t="inlineStr">
        <is>
          <t>교육부 표준에 명시 없음 — 학교보건법·교육시설법 적용 시 담당자가 추가 필요</t>
        </is>
      </c>
    </row>
    <row r="6" ht="17.15" customHeight="1" s="42">
      <c r="A6" s="57" t="n">
        <v>2</v>
      </c>
      <c r="B6" s="58" t="inlineStr">
        <is>
          <t>비상 대응</t>
        </is>
      </c>
      <c r="C6" s="59" t="inlineStr">
        <is>
          <t>세안기</t>
        </is>
      </c>
      <c r="D6" s="60" t="inlineStr">
        <is>
          <t>AI보완</t>
        </is>
      </c>
      <c r="E6" s="61" t="inlineStr">
        <is>
          <t>교육부 표준에 명시 없음 — 학교보건법·교육시설법 적용 시 담당자가 추가 필요</t>
        </is>
      </c>
    </row>
    <row r="7" ht="17.15" customHeight="1" s="42">
      <c r="A7" s="57" t="n">
        <v>3</v>
      </c>
      <c r="B7" s="58" t="inlineStr">
        <is>
          <t>비상 대응</t>
        </is>
      </c>
      <c r="C7" s="59" t="inlineStr">
        <is>
          <t>가스차단밸브</t>
        </is>
      </c>
      <c r="D7" s="60" t="inlineStr">
        <is>
          <t>AI보완</t>
        </is>
      </c>
      <c r="E7" s="61" t="inlineStr">
        <is>
          <t>교육부 표준 실험실 영역에 명시 없음 (건축물 가스 영역 별도)</t>
        </is>
      </c>
    </row>
    <row r="8" ht="17.15" customHeight="1" s="42">
      <c r="A8" s="57" t="n">
        <v>4</v>
      </c>
      <c r="B8" s="58" t="inlineStr">
        <is>
          <t>비상 대응</t>
        </is>
      </c>
      <c r="C8" s="59" t="inlineStr">
        <is>
          <t>소화기</t>
        </is>
      </c>
      <c r="D8" s="62" t="inlineStr">
        <is>
          <t>공통</t>
        </is>
      </c>
      <c r="E8" s="61" t="inlineStr">
        <is>
          <t>교육부 2.실험실.안전관리 '실험 중 사고대비(소화기)'</t>
        </is>
      </c>
    </row>
    <row r="9" ht="17.15" customHeight="1" s="42">
      <c r="A9" s="57" t="n">
        <v>5</v>
      </c>
      <c r="B9" s="58" t="inlineStr">
        <is>
          <t>비상 대응</t>
        </is>
      </c>
      <c r="C9" s="59" t="inlineStr">
        <is>
          <t>소화포</t>
        </is>
      </c>
      <c r="D9" s="60" t="inlineStr">
        <is>
          <t>AI보완</t>
        </is>
      </c>
      <c r="E9" s="61" t="inlineStr">
        <is>
          <t>교육부 표준에 명시 없음</t>
        </is>
      </c>
    </row>
    <row r="10" ht="17.15" customHeight="1" s="42">
      <c r="A10" s="57" t="n">
        <v>6</v>
      </c>
      <c r="B10" s="58" t="inlineStr">
        <is>
          <t>비상 대응</t>
        </is>
      </c>
      <c r="C10" s="59" t="inlineStr">
        <is>
          <t>응급처치함</t>
        </is>
      </c>
      <c r="D10" s="60" t="inlineStr">
        <is>
          <t>AI보완</t>
        </is>
      </c>
      <c r="E10" s="61" t="inlineStr">
        <is>
          <t>교육부 1번 게시 항목에 응급대응 요령은 있으나 응급처치함 자체 명시 없음</t>
        </is>
      </c>
    </row>
    <row r="11" ht="17.15" customHeight="1" s="42">
      <c r="A11" s="57" t="n">
        <v>7</v>
      </c>
      <c r="B11" s="58" t="inlineStr">
        <is>
          <t>환기·배기</t>
        </is>
      </c>
      <c r="C11" s="59" t="inlineStr">
        <is>
          <t>흄후드</t>
        </is>
      </c>
      <c r="D11" s="63" t="inlineStr">
        <is>
          <t>부분공통</t>
        </is>
      </c>
      <c r="E11" s="61" t="inlineStr">
        <is>
          <t>교육부 4번 시약보관 '필요환기' 포괄적 언급 — 공간 특이 흄후드 명시 없음</t>
        </is>
      </c>
    </row>
    <row r="12" ht="17.15" customHeight="1" s="42">
      <c r="A12" s="57" t="n">
        <v>8</v>
      </c>
      <c r="B12" s="58" t="inlineStr">
        <is>
          <t>환기·배기</t>
        </is>
      </c>
      <c r="C12" s="59" t="inlineStr">
        <is>
          <t>국소배기장치</t>
        </is>
      </c>
      <c r="D12" s="63" t="inlineStr">
        <is>
          <t>부분공통</t>
        </is>
      </c>
      <c r="E12" s="61" t="inlineStr">
        <is>
          <t>교육부 4번 '환기' 포괄 — 국소배기 명시 없음</t>
        </is>
      </c>
    </row>
    <row r="13" ht="17.15" customHeight="1" s="42">
      <c r="A13" s="57" t="n">
        <v>9</v>
      </c>
      <c r="B13" s="58" t="inlineStr">
        <is>
          <t>환기·배기</t>
        </is>
      </c>
      <c r="C13" s="59" t="inlineStr">
        <is>
          <t>기계환기구</t>
        </is>
      </c>
      <c r="D13" s="63" t="inlineStr">
        <is>
          <t>부분공통</t>
        </is>
      </c>
      <c r="E13" s="61" t="inlineStr">
        <is>
          <t>교육부 4번 '환기' 포괄</t>
        </is>
      </c>
    </row>
    <row r="14" ht="17.15" customHeight="1" s="42">
      <c r="A14" s="57" t="n">
        <v>10</v>
      </c>
      <c r="B14" s="58" t="inlineStr">
        <is>
          <t>환기·배기</t>
        </is>
      </c>
      <c r="C14" s="59" t="inlineStr">
        <is>
          <t>천장디퓨저</t>
        </is>
      </c>
      <c r="D14" s="60" t="inlineStr">
        <is>
          <t>AI보완</t>
        </is>
      </c>
      <c r="E14" s="61" t="inlineStr">
        <is>
          <t>교육부 표준에 명시 없음</t>
        </is>
      </c>
    </row>
    <row r="15" ht="17.15" customHeight="1" s="42">
      <c r="A15" s="57" t="n">
        <v>11</v>
      </c>
      <c r="B15" s="58" t="inlineStr">
        <is>
          <t>보관·격리</t>
        </is>
      </c>
      <c r="C15" s="59" t="inlineStr">
        <is>
          <t>시약장(잠금)</t>
        </is>
      </c>
      <c r="D15" s="62" t="inlineStr">
        <is>
          <t>공통</t>
        </is>
      </c>
      <c r="E15" s="61" t="inlineStr">
        <is>
          <t>교육부 4번 '시약보관(보관함·잠금)' + 5번 '특수시약관리(잠금)'</t>
        </is>
      </c>
    </row>
    <row r="16" ht="17.15" customHeight="1" s="42">
      <c r="A16" s="57" t="n">
        <v>12</v>
      </c>
      <c r="B16" s="58" t="inlineStr">
        <is>
          <t>보관·격리</t>
        </is>
      </c>
      <c r="C16" s="59" t="inlineStr">
        <is>
          <t>가스용기보관함</t>
        </is>
      </c>
      <c r="D16" s="60" t="inlineStr">
        <is>
          <t>AI보완</t>
        </is>
      </c>
      <c r="E16" s="61" t="inlineStr">
        <is>
          <t>교육부 실험실 영역에 명시 없음</t>
        </is>
      </c>
    </row>
    <row r="17" ht="17.15" customHeight="1" s="42">
      <c r="A17" s="57" t="n">
        <v>13</v>
      </c>
      <c r="B17" s="58" t="inlineStr">
        <is>
          <t>보관·격리</t>
        </is>
      </c>
      <c r="C17" s="59" t="inlineStr">
        <is>
          <t>폐액용기</t>
        </is>
      </c>
      <c r="D17" s="63" t="inlineStr">
        <is>
          <t>부분공통</t>
        </is>
      </c>
      <c r="E17" s="61" t="inlineStr">
        <is>
          <t>교육부 6번 '사후처리(약품관리·출납대장)' — 폐액용기 자체 명시 없음</t>
        </is>
      </c>
    </row>
    <row r="18" ht="17.15" customHeight="1" s="42">
      <c r="A18" s="57" t="n">
        <v>14</v>
      </c>
      <c r="B18" s="58" t="inlineStr">
        <is>
          <t>보관·격리</t>
        </is>
      </c>
      <c r="C18" s="59" t="inlineStr">
        <is>
          <t>개인보호구함</t>
        </is>
      </c>
      <c r="D18" s="63" t="inlineStr">
        <is>
          <t>부분공통</t>
        </is>
      </c>
      <c r="E18" s="61" t="inlineStr">
        <is>
          <t>교육부 2번 '실험장구 구비' — 보관함 명시 없음</t>
        </is>
      </c>
    </row>
    <row r="19" ht="17.15" customHeight="1" s="42">
      <c r="A19" s="57" t="n">
        <v>15</v>
      </c>
      <c r="B19" s="58" t="inlineStr">
        <is>
          <t>감지·경보</t>
        </is>
      </c>
      <c r="C19" s="59" t="inlineStr">
        <is>
          <t>화재감지기</t>
        </is>
      </c>
      <c r="D19" s="60" t="inlineStr">
        <is>
          <t>AI보완</t>
        </is>
      </c>
      <c r="E19" s="61" t="inlineStr">
        <is>
          <t>교육부 실험실 영역에 명시 없음 (건축물 소방 영역 별도)</t>
        </is>
      </c>
    </row>
    <row r="20" ht="17.15" customHeight="1" s="42">
      <c r="A20" s="57" t="n">
        <v>16</v>
      </c>
      <c r="B20" s="58" t="inlineStr">
        <is>
          <t>감지·경보</t>
        </is>
      </c>
      <c r="C20" s="59" t="inlineStr">
        <is>
          <t>가스누출감지기</t>
        </is>
      </c>
      <c r="D20" s="60" t="inlineStr">
        <is>
          <t>AI보완</t>
        </is>
      </c>
      <c r="E20" s="61" t="inlineStr">
        <is>
          <t>교육부 실험실 영역에 명시 없음</t>
        </is>
      </c>
    </row>
    <row r="21" ht="17.15" customHeight="1" s="42">
      <c r="A21" s="57" t="n">
        <v>17</v>
      </c>
      <c r="B21" s="58" t="inlineStr">
        <is>
          <t>감지·경보</t>
        </is>
      </c>
      <c r="C21" s="59" t="inlineStr">
        <is>
          <t>비상벨</t>
        </is>
      </c>
      <c r="D21" s="60" t="inlineStr">
        <is>
          <t>AI보완</t>
        </is>
      </c>
      <c r="E21" s="61" t="inlineStr">
        <is>
          <t>교육부 8번 비상연락망 — 비상벨 자체 명시 없음</t>
        </is>
      </c>
    </row>
    <row r="22" ht="17.15" customHeight="1" s="42">
      <c r="A22" s="57" t="n">
        <v>18</v>
      </c>
      <c r="B22" s="58" t="inlineStr">
        <is>
          <t>감지·경보</t>
        </is>
      </c>
      <c r="C22" s="59" t="inlineStr">
        <is>
          <t>연기감지기</t>
        </is>
      </c>
      <c r="D22" s="60" t="inlineStr">
        <is>
          <t>AI보완</t>
        </is>
      </c>
      <c r="E22" s="61" t="inlineStr">
        <is>
          <t>교육부 실험실 영역에 명시 없음</t>
        </is>
      </c>
    </row>
    <row r="23" ht="17.15" customHeight="1" s="42">
      <c r="A23" s="57" t="n">
        <v>19</v>
      </c>
      <c r="B23" s="58" t="inlineStr">
        <is>
          <t>개인보호구</t>
        </is>
      </c>
      <c r="C23" s="59" t="inlineStr">
        <is>
          <t>보안경</t>
        </is>
      </c>
      <c r="D23" s="62" t="inlineStr">
        <is>
          <t>공통</t>
        </is>
      </c>
      <c r="E23" s="61" t="inlineStr">
        <is>
          <t>교육부 2번 '실험장구 구비(보안경)'</t>
        </is>
      </c>
    </row>
    <row r="24" ht="17.15" customHeight="1" s="42">
      <c r="A24" s="57" t="n">
        <v>20</v>
      </c>
      <c r="B24" s="58" t="inlineStr">
        <is>
          <t>개인보호구</t>
        </is>
      </c>
      <c r="C24" s="59" t="inlineStr">
        <is>
          <t>실험복</t>
        </is>
      </c>
      <c r="D24" s="62" t="inlineStr">
        <is>
          <t>공통</t>
        </is>
      </c>
      <c r="E24" s="61" t="inlineStr">
        <is>
          <t>교육부 2번 '실험장구 구비(실험복)'</t>
        </is>
      </c>
    </row>
    <row r="25" ht="17.15" customHeight="1" s="42">
      <c r="A25" s="57" t="n">
        <v>21</v>
      </c>
      <c r="B25" s="58" t="inlineStr">
        <is>
          <t>개인보호구</t>
        </is>
      </c>
      <c r="C25" s="59" t="inlineStr">
        <is>
          <t>장갑</t>
        </is>
      </c>
      <c r="D25" s="60" t="inlineStr">
        <is>
          <t>AI보완</t>
        </is>
      </c>
      <c r="E25" s="61" t="inlineStr">
        <is>
          <t>교육부 2번 실험장구에 마스크·보안경은 있으나 장갑 명시 없음</t>
        </is>
      </c>
    </row>
    <row r="26" ht="17.15" customHeight="1" s="42">
      <c r="A26" s="57" t="n">
        <v>22</v>
      </c>
      <c r="B26" s="58" t="inlineStr">
        <is>
          <t>개인보호구</t>
        </is>
      </c>
      <c r="C26" s="59" t="inlineStr">
        <is>
          <t>방독면</t>
        </is>
      </c>
      <c r="D26" s="63" t="inlineStr">
        <is>
          <t>부분공통</t>
        </is>
      </c>
      <c r="E26" s="61" t="inlineStr">
        <is>
          <t>교육부 2번 '실험장구(마스크)' — 방독면 명시 없음</t>
        </is>
      </c>
    </row>
    <row r="27" ht="17.15" customHeight="1" s="42">
      <c r="A27" s="57" t="n">
        <v>23</v>
      </c>
      <c r="B27" s="58" t="inlineStr">
        <is>
          <t>개인보호구</t>
        </is>
      </c>
      <c r="C27" s="59" t="inlineStr">
        <is>
          <t>실험화</t>
        </is>
      </c>
      <c r="D27" s="60" t="inlineStr">
        <is>
          <t>AI보완</t>
        </is>
      </c>
      <c r="E27" s="61" t="inlineStr">
        <is>
          <t>교육부 표준에 명시 없음</t>
        </is>
      </c>
    </row>
    <row r="28" ht="17.15" customHeight="1" s="42">
      <c r="A28" s="57" t="n">
        <v>24</v>
      </c>
      <c r="B28" s="58" t="inlineStr">
        <is>
          <t>안내·표지</t>
        </is>
      </c>
      <c r="C28" s="64" t="inlineStr">
        <is>
          <t>MSDS비치</t>
        </is>
      </c>
      <c r="D28" s="60" t="inlineStr">
        <is>
          <t>AI보완</t>
        </is>
      </c>
      <c r="E28" s="61" t="inlineStr">
        <is>
          <t>교육부 실험실 영역에 명시 없음 — 산안법 제114조 의무사항</t>
        </is>
      </c>
    </row>
    <row r="29" ht="17.15" customHeight="1" s="42">
      <c r="A29" s="57" t="n">
        <v>25</v>
      </c>
      <c r="B29" s="58" t="inlineStr">
        <is>
          <t>안내·표지</t>
        </is>
      </c>
      <c r="C29" s="59" t="inlineStr">
        <is>
          <t>안전수칙게시</t>
        </is>
      </c>
      <c r="D29" s="62" t="inlineStr">
        <is>
          <t>공통</t>
        </is>
      </c>
      <c r="E29" s="61" t="inlineStr">
        <is>
          <t>교육부 1번 '안전수칙·대응요령 게시'</t>
        </is>
      </c>
    </row>
    <row r="30" ht="17.15" customHeight="1" s="42">
      <c r="A30" s="57" t="n">
        <v>26</v>
      </c>
      <c r="B30" s="58" t="inlineStr">
        <is>
          <t>안내·표지</t>
        </is>
      </c>
      <c r="C30" s="59" t="inlineStr">
        <is>
          <t>비상대응 포스터</t>
        </is>
      </c>
      <c r="D30" s="62" t="inlineStr">
        <is>
          <t>공통</t>
        </is>
      </c>
      <c r="E30" s="61" t="inlineStr">
        <is>
          <t>교육부 1번 '안전수칙·대응요령 게시'</t>
        </is>
      </c>
    </row>
    <row r="31" ht="17.15" customHeight="1" s="42">
      <c r="A31" s="57" t="n">
        <v>27</v>
      </c>
      <c r="B31" s="58" t="inlineStr">
        <is>
          <t>안내·표지</t>
        </is>
      </c>
      <c r="C31" s="59" t="inlineStr">
        <is>
          <t>가스차단 표지</t>
        </is>
      </c>
      <c r="D31" s="60" t="inlineStr">
        <is>
          <t>AI보완</t>
        </is>
      </c>
      <c r="E31" s="61" t="inlineStr">
        <is>
          <t>교육부 실험실 영역에 명시 없음</t>
        </is>
      </c>
    </row>
  </sheetData>
  <mergeCells count="2">
    <mergeCell ref="A2:E2"/>
    <mergeCell ref="A1:E1"/>
  </mergeCells>
  <dataValidations count="1">
    <dataValidation sqref="D5:D31" showDropDown="0" showInputMessage="0" showErrorMessage="0" allowBlank="1" type="list" errorStyle="stop" operator="between">
      <formula1>"공통,부분공통,AI보완"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41" min="1" max="1"/>
    <col width="14" customWidth="1" style="41" min="2" max="4"/>
    <col width="30" customWidth="1" style="41" min="5" max="5"/>
  </cols>
  <sheetData>
    <row r="1" ht="20.1" customHeight="1" s="42">
      <c r="A1" s="65" t="inlineStr">
        <is>
          <t>지표 요약 — 메인(교육부 표준) + 부록(서울·경기)</t>
        </is>
      </c>
    </row>
    <row r="3" ht="17.15" customHeight="1" s="42">
      <c r="A3" s="66" t="inlineStr">
        <is>
          <t>[메인 — 교육부 표준 비교]</t>
        </is>
      </c>
    </row>
    <row r="4" ht="15" customHeight="1" s="42">
      <c r="A4" s="67" t="inlineStr">
        <is>
          <t>AI 맞춤 총 항목 (M)</t>
        </is>
      </c>
      <c r="B4" s="68">
        <f>COUNTA(AI매핑_교육부!C5:C31)</f>
        <v/>
      </c>
    </row>
    <row r="5" ht="15" customHeight="1" s="42">
      <c r="A5" s="69" t="inlineStr">
        <is>
          <t>교육부 실험실 (E)</t>
        </is>
      </c>
      <c r="B5" s="68">
        <f>8</f>
        <v/>
      </c>
    </row>
    <row r="6" ht="15" customHeight="1" s="42">
      <c r="A6" s="69" t="inlineStr">
        <is>
          <t>공통 (M ∩ E)</t>
        </is>
      </c>
      <c r="B6" s="68">
        <f>COUNTIF(AI매핑_교육부!D5:D31,"공통")</f>
        <v/>
      </c>
    </row>
    <row r="7" ht="15" customHeight="1" s="42">
      <c r="A7" s="69" t="inlineStr">
        <is>
          <t>부분공통</t>
        </is>
      </c>
      <c r="B7" s="68">
        <f>COUNTIF(AI매핑_교육부!D5:D31,"부분공통")</f>
        <v/>
      </c>
    </row>
    <row r="8" ht="15" customHeight="1" s="42">
      <c r="A8" s="67" t="inlineStr">
        <is>
          <t>AI 자동 보완</t>
        </is>
      </c>
      <c r="B8" s="68">
        <f>COUNTIF(AI매핑_교육부!D5:D31,"AI보완")</f>
        <v/>
      </c>
    </row>
    <row r="11" ht="17.15" customHeight="1" s="42">
      <c r="A11" s="66" t="inlineStr">
        <is>
          <t>[메인 지표 — 슬라이드 11 치환값]</t>
        </is>
      </c>
    </row>
    <row r="12" ht="17.9" customHeight="1" s="42">
      <c r="A12" s="70" t="inlineStr">
        <is>
          <t>공통 보존율</t>
        </is>
      </c>
      <c r="B12" s="71">
        <f>IFERROR((B6+B7)/B4,"")</f>
        <v/>
      </c>
    </row>
    <row r="13" ht="17.9" customHeight="1" s="42">
      <c r="A13" s="70" t="inlineStr">
        <is>
          <t>법령 자동 적용률</t>
        </is>
      </c>
      <c r="B13" s="71">
        <f>IFERROR(B8/B4,"")</f>
        <v/>
      </c>
    </row>
    <row r="14" ht="17.9" customHeight="1" s="42">
      <c r="A14" s="70" t="inlineStr">
        <is>
          <t>자동 보완 항목 수</t>
        </is>
      </c>
      <c r="B14" s="72">
        <f>B8</f>
        <v/>
      </c>
    </row>
    <row r="17" ht="17.15" customHeight="1" s="42">
      <c r="A17" s="66" t="inlineStr">
        <is>
          <t>[부록 — 서울·경기 시도 표본 비교 (Q&amp;A 자료용)]</t>
        </is>
      </c>
    </row>
    <row r="18" ht="17.15" customHeight="1" s="42">
      <c r="A18" s="73" t="inlineStr">
        <is>
          <t>지표</t>
        </is>
      </c>
      <c r="B18" s="73" t="inlineStr">
        <is>
          <t>서울</t>
        </is>
      </c>
      <c r="C18" s="73" t="inlineStr">
        <is>
          <t>경기</t>
        </is>
      </c>
      <c r="D18" s="73" t="inlineStr">
        <is>
          <t>평균</t>
        </is>
      </c>
      <c r="E18" s="73" t="inlineStr">
        <is>
          <t>비고</t>
        </is>
      </c>
    </row>
    <row r="19" ht="15" customHeight="1" s="42">
      <c r="A19" s="69" t="inlineStr">
        <is>
          <t>공통 보존율</t>
        </is>
      </c>
      <c r="B19" s="74">
        <f>부록_서울!I3</f>
        <v/>
      </c>
      <c r="C19" s="74">
        <f>부록_경기!I3</f>
        <v/>
      </c>
      <c r="D19" s="74">
        <f>AVERAGE(B19:C19)</f>
        <v/>
      </c>
      <c r="E19" s="75" t="inlineStr">
        <is>
          <t>서울·경기 학생수 합 43.5%</t>
        </is>
      </c>
    </row>
    <row r="20" ht="15" customHeight="1" s="42">
      <c r="A20" s="69" t="inlineStr">
        <is>
          <t>법령 자동 적용률</t>
        </is>
      </c>
      <c r="B20" s="74">
        <f>부록_서울!I4</f>
        <v/>
      </c>
      <c r="C20" s="74">
        <f>부록_경기!I4</f>
        <v/>
      </c>
      <c r="D20" s="74">
        <f>AVERAGE(B20:C20)</f>
        <v/>
      </c>
    </row>
    <row r="21" ht="15" customHeight="1" s="42">
      <c r="A21" s="69" t="inlineStr">
        <is>
          <t>자동 보완 항목 수</t>
        </is>
      </c>
      <c r="B21" s="76">
        <f>부록_서울!I5</f>
        <v/>
      </c>
      <c r="C21" s="76">
        <f>부록_경기!I5</f>
        <v/>
      </c>
      <c r="D21" s="76">
        <f>AVERAGE(B21:C21)</f>
        <v/>
      </c>
    </row>
  </sheetData>
  <mergeCells count="4">
    <mergeCell ref="A11:E11"/>
    <mergeCell ref="A1:E1"/>
    <mergeCell ref="A17:E1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1" min="1" max="1"/>
    <col width="22" customWidth="1" style="41" min="2" max="2"/>
    <col width="14" customWidth="1" style="41" min="3" max="3"/>
    <col width="50" customWidth="1" style="41" min="4" max="4"/>
    <col width="5" customWidth="1" style="41" min="5" max="8"/>
    <col width="14" customWidth="1" style="41" min="9" max="9"/>
  </cols>
  <sheetData>
    <row r="1" ht="20.1" customHeight="1" s="42">
      <c r="A1" s="65" t="inlineStr">
        <is>
          <t>부록 1 — 서울특별시교육청 [서식 A-1-3] 과학실험실 26항목 vs AI 27</t>
        </is>
      </c>
    </row>
    <row r="2" ht="17.15" customHeight="1" s="42">
      <c r="H2" s="73" t="inlineStr">
        <is>
          <t>지표</t>
        </is>
      </c>
      <c r="I2" s="73" t="inlineStr">
        <is>
          <t>값</t>
        </is>
      </c>
    </row>
    <row r="3" ht="15" customHeight="1" s="42">
      <c r="H3" s="69" t="inlineStr">
        <is>
          <t>공통 보존율</t>
        </is>
      </c>
      <c r="I3" s="77">
        <f>(COUNTIF(C5:C31,"공통")+COUNTIF(C5:C31,"부분공통"))/COUNTA(B5:B31)</f>
        <v/>
      </c>
    </row>
    <row r="4" ht="17.15" customHeight="1" s="42">
      <c r="A4" s="55" t="inlineStr">
        <is>
          <t>#</t>
        </is>
      </c>
      <c r="B4" s="55" t="inlineStr">
        <is>
          <t>AI 항목</t>
        </is>
      </c>
      <c r="C4" s="56" t="inlineStr">
        <is>
          <t>매핑유형</t>
        </is>
      </c>
      <c r="D4" s="56" t="inlineStr">
        <is>
          <t>매핑 근거</t>
        </is>
      </c>
      <c r="H4" s="69" t="inlineStr">
        <is>
          <t>법령 자동 적용률</t>
        </is>
      </c>
      <c r="I4" s="77">
        <f>COUNTIF(C5:C31,"AI보완")/COUNTA(B5:B31)</f>
        <v/>
      </c>
    </row>
    <row r="5" ht="17.15" customHeight="1" s="42">
      <c r="A5" s="57" t="n">
        <v>1</v>
      </c>
      <c r="B5" s="59" t="inlineStr">
        <is>
          <t>비상샤워</t>
        </is>
      </c>
      <c r="C5" s="60" t="inlineStr">
        <is>
          <t>AI보완</t>
        </is>
      </c>
      <c r="D5" s="61" t="inlineStr">
        <is>
          <t>서울 과학실험실 영역에 명시 없음</t>
        </is>
      </c>
      <c r="H5" s="69" t="inlineStr">
        <is>
          <t>자동 보완 항목 수</t>
        </is>
      </c>
      <c r="I5" s="68">
        <f>COUNTIF(C5:C31,"AI보완")</f>
        <v/>
      </c>
    </row>
    <row r="6" ht="17.15" customHeight="1" s="42">
      <c r="A6" s="57" t="n">
        <v>2</v>
      </c>
      <c r="B6" s="59" t="inlineStr">
        <is>
          <t>세안기</t>
        </is>
      </c>
      <c r="C6" s="60" t="inlineStr">
        <is>
          <t>AI보완</t>
        </is>
      </c>
      <c r="D6" s="61" t="inlineStr">
        <is>
          <t>서울 과학실험실 영역에 명시 없음</t>
        </is>
      </c>
      <c r="H6" s="75" t="inlineStr">
        <is>
          <t>기존 서울 과학실험실</t>
        </is>
      </c>
      <c r="I6" s="78" t="n">
        <v>26</v>
      </c>
    </row>
    <row r="7" ht="17.15" customHeight="1" s="42">
      <c r="A7" s="57" t="n">
        <v>3</v>
      </c>
      <c r="B7" s="59" t="inlineStr">
        <is>
          <t>가스차단밸브</t>
        </is>
      </c>
      <c r="C7" s="60" t="inlineStr">
        <is>
          <t>AI보완</t>
        </is>
      </c>
      <c r="D7" s="61" t="inlineStr">
        <is>
          <t>단위학교 다른 영역에 있으나 과학실 영역 한정 시 명시 없음</t>
        </is>
      </c>
    </row>
    <row r="8" ht="17.15" customHeight="1" s="42">
      <c r="A8" s="57" t="n">
        <v>4</v>
      </c>
      <c r="B8" s="59" t="inlineStr">
        <is>
          <t>소화기</t>
        </is>
      </c>
      <c r="C8" s="62" t="inlineStr">
        <is>
          <t>공통</t>
        </is>
      </c>
      <c r="D8" s="79" t="inlineStr">
        <is>
          <t>12. 소화기·모래보관함</t>
        </is>
      </c>
    </row>
    <row r="9" ht="17.15" customHeight="1" s="42">
      <c r="A9" s="57" t="n">
        <v>5</v>
      </c>
      <c r="B9" s="59" t="inlineStr">
        <is>
          <t>소화포</t>
        </is>
      </c>
      <c r="C9" s="63" t="inlineStr">
        <is>
          <t>부분공통</t>
        </is>
      </c>
      <c r="D9" s="79" t="inlineStr">
        <is>
          <t>12. 모래보관함 (소화 보조)</t>
        </is>
      </c>
    </row>
    <row r="10" ht="17.15" customHeight="1" s="42">
      <c r="A10" s="57" t="n">
        <v>6</v>
      </c>
      <c r="B10" s="59" t="inlineStr">
        <is>
          <t>응급처치함</t>
        </is>
      </c>
      <c r="C10" s="63" t="inlineStr">
        <is>
          <t>부분공통</t>
        </is>
      </c>
      <c r="D10" s="79" t="inlineStr">
        <is>
          <t>8. 응급 대처 요령 게시 — 응급처치함 자체는 없음</t>
        </is>
      </c>
    </row>
    <row r="11" ht="17.15" customHeight="1" s="42">
      <c r="A11" s="57" t="n">
        <v>7</v>
      </c>
      <c r="B11" s="59" t="inlineStr">
        <is>
          <t>흄후드</t>
        </is>
      </c>
      <c r="C11" s="63" t="inlineStr">
        <is>
          <t>부분공통</t>
        </is>
      </c>
      <c r="D11" s="79" t="inlineStr">
        <is>
          <t>13. 환풍기 — 흄후드 명시 없음</t>
        </is>
      </c>
    </row>
    <row r="12" ht="17.15" customHeight="1" s="42">
      <c r="A12" s="57" t="n">
        <v>8</v>
      </c>
      <c r="B12" s="59" t="inlineStr">
        <is>
          <t>국소배기장치</t>
        </is>
      </c>
      <c r="C12" s="63" t="inlineStr">
        <is>
          <t>부분공통</t>
        </is>
      </c>
      <c r="D12" s="79" t="inlineStr">
        <is>
          <t>13. 환풍기 — 국소배기 명시 없음</t>
        </is>
      </c>
    </row>
    <row r="13" ht="17.15" customHeight="1" s="42">
      <c r="A13" s="57" t="n">
        <v>9</v>
      </c>
      <c r="B13" s="59" t="inlineStr">
        <is>
          <t>기계환기구</t>
        </is>
      </c>
      <c r="C13" s="62" t="inlineStr">
        <is>
          <t>공통</t>
        </is>
      </c>
      <c r="D13" s="79" t="inlineStr">
        <is>
          <t>13. 환풍기</t>
        </is>
      </c>
    </row>
    <row r="14" ht="17.15" customHeight="1" s="42">
      <c r="A14" s="57" t="n">
        <v>10</v>
      </c>
      <c r="B14" s="59" t="inlineStr">
        <is>
          <t>천장디퓨저</t>
        </is>
      </c>
      <c r="C14" s="60" t="inlineStr">
        <is>
          <t>AI보완</t>
        </is>
      </c>
      <c r="D14" s="61" t="inlineStr">
        <is>
          <t>명시 없음</t>
        </is>
      </c>
    </row>
    <row r="15" ht="17.15" customHeight="1" s="42">
      <c r="A15" s="57" t="n">
        <v>11</v>
      </c>
      <c r="B15" s="59" t="inlineStr">
        <is>
          <t>시약장(잠금)</t>
        </is>
      </c>
      <c r="C15" s="62" t="inlineStr">
        <is>
          <t>공통</t>
        </is>
      </c>
      <c r="D15" s="79" t="inlineStr">
        <is>
          <t>16. 밀폐 시약장(잠금장치)</t>
        </is>
      </c>
    </row>
    <row r="16" ht="17.15" customHeight="1" s="42">
      <c r="A16" s="57" t="n">
        <v>12</v>
      </c>
      <c r="B16" s="59" t="inlineStr">
        <is>
          <t>가스용기보관함</t>
        </is>
      </c>
      <c r="C16" s="60" t="inlineStr">
        <is>
          <t>AI보완</t>
        </is>
      </c>
      <c r="D16" s="61" t="inlineStr">
        <is>
          <t>과학실 영역 명시 없음</t>
        </is>
      </c>
    </row>
    <row r="17" ht="17.15" customHeight="1" s="42">
      <c r="A17" s="57" t="n">
        <v>13</v>
      </c>
      <c r="B17" s="59" t="inlineStr">
        <is>
          <t>폐액용기</t>
        </is>
      </c>
      <c r="C17" s="62" t="inlineStr">
        <is>
          <t>공통</t>
        </is>
      </c>
      <c r="D17" s="79" t="inlineStr">
        <is>
          <t>21. 폐수·폐시약 별도 보관</t>
        </is>
      </c>
    </row>
    <row r="18" ht="17.15" customHeight="1" s="42">
      <c r="A18" s="57" t="n">
        <v>14</v>
      </c>
      <c r="B18" s="59" t="inlineStr">
        <is>
          <t>개인보호구함</t>
        </is>
      </c>
      <c r="C18" s="63" t="inlineStr">
        <is>
          <t>부분공통</t>
        </is>
      </c>
      <c r="D18" s="79" t="inlineStr">
        <is>
          <t>11. 안전보호 장비 — 보관함 명시 없음</t>
        </is>
      </c>
    </row>
    <row r="19" ht="17.15" customHeight="1" s="42">
      <c r="A19" s="57" t="n">
        <v>15</v>
      </c>
      <c r="B19" s="59" t="inlineStr">
        <is>
          <t>화재감지기</t>
        </is>
      </c>
      <c r="C19" s="60" t="inlineStr">
        <is>
          <t>AI보완</t>
        </is>
      </c>
      <c r="D19" s="61" t="inlineStr">
        <is>
          <t>과학실 영역 명시 없음</t>
        </is>
      </c>
    </row>
    <row r="20" ht="17.15" customHeight="1" s="42">
      <c r="A20" s="57" t="n">
        <v>16</v>
      </c>
      <c r="B20" s="59" t="inlineStr">
        <is>
          <t>가스누출감지기</t>
        </is>
      </c>
      <c r="C20" s="60" t="inlineStr">
        <is>
          <t>AI보완</t>
        </is>
      </c>
      <c r="D20" s="61" t="inlineStr">
        <is>
          <t>과학실 영역 명시 없음</t>
        </is>
      </c>
    </row>
    <row r="21" ht="17.15" customHeight="1" s="42">
      <c r="A21" s="57" t="n">
        <v>17</v>
      </c>
      <c r="B21" s="59" t="inlineStr">
        <is>
          <t>비상벨</t>
        </is>
      </c>
      <c r="C21" s="60" t="inlineStr">
        <is>
          <t>AI보완</t>
        </is>
      </c>
      <c r="D21" s="61" t="inlineStr">
        <is>
          <t>명시 없음</t>
        </is>
      </c>
    </row>
    <row r="22" ht="17.15" customHeight="1" s="42">
      <c r="A22" s="57" t="n">
        <v>18</v>
      </c>
      <c r="B22" s="59" t="inlineStr">
        <is>
          <t>연기감지기</t>
        </is>
      </c>
      <c r="C22" s="60" t="inlineStr">
        <is>
          <t>AI보완</t>
        </is>
      </c>
      <c r="D22" s="61" t="inlineStr">
        <is>
          <t>과학실 영역 명시 없음</t>
        </is>
      </c>
    </row>
    <row r="23" ht="17.15" customHeight="1" s="42">
      <c r="A23" s="57" t="n">
        <v>19</v>
      </c>
      <c r="B23" s="59" t="inlineStr">
        <is>
          <t>보안경</t>
        </is>
      </c>
      <c r="C23" s="62" t="inlineStr">
        <is>
          <t>공통</t>
        </is>
      </c>
      <c r="D23" s="79" t="inlineStr">
        <is>
          <t>11. 안전보호 장비(보안경)</t>
        </is>
      </c>
    </row>
    <row r="24" ht="17.15" customHeight="1" s="42">
      <c r="A24" s="57" t="n">
        <v>20</v>
      </c>
      <c r="B24" s="59" t="inlineStr">
        <is>
          <t>실험복</t>
        </is>
      </c>
      <c r="C24" s="62" t="inlineStr">
        <is>
          <t>공통</t>
        </is>
      </c>
      <c r="D24" s="79" t="inlineStr">
        <is>
          <t>11. 안전보호 장비(실험복)</t>
        </is>
      </c>
    </row>
    <row r="25" ht="17.15" customHeight="1" s="42">
      <c r="A25" s="57" t="n">
        <v>21</v>
      </c>
      <c r="B25" s="59" t="inlineStr">
        <is>
          <t>장갑</t>
        </is>
      </c>
      <c r="C25" s="62" t="inlineStr">
        <is>
          <t>공통</t>
        </is>
      </c>
      <c r="D25" s="79" t="inlineStr">
        <is>
          <t>11. 안전보호 장비(네오프렌·나이트릴 고무장갑)</t>
        </is>
      </c>
    </row>
    <row r="26" ht="17.15" customHeight="1" s="42">
      <c r="A26" s="57" t="n">
        <v>22</v>
      </c>
      <c r="B26" s="59" t="inlineStr">
        <is>
          <t>방독면</t>
        </is>
      </c>
      <c r="C26" s="63" t="inlineStr">
        <is>
          <t>부분공통</t>
        </is>
      </c>
      <c r="D26" s="79" t="inlineStr">
        <is>
          <t>11. 안전보호 장비(마스크) — 방독면 명시 없음</t>
        </is>
      </c>
    </row>
    <row r="27" ht="17.15" customHeight="1" s="42">
      <c r="A27" s="57" t="n">
        <v>23</v>
      </c>
      <c r="B27" s="59" t="inlineStr">
        <is>
          <t>실험화</t>
        </is>
      </c>
      <c r="C27" s="60" t="inlineStr">
        <is>
          <t>AI보완</t>
        </is>
      </c>
      <c r="D27" s="61" t="inlineStr">
        <is>
          <t>명시 없음</t>
        </is>
      </c>
    </row>
    <row r="28" ht="17.15" customHeight="1" s="42">
      <c r="A28" s="57" t="n">
        <v>24</v>
      </c>
      <c r="B28" s="64" t="inlineStr">
        <is>
          <t>MSDS비치</t>
        </is>
      </c>
      <c r="C28" s="62" t="inlineStr">
        <is>
          <t>공통</t>
        </is>
      </c>
      <c r="D28" s="79" t="inlineStr">
        <is>
          <t>10. MSDS 게시·비치</t>
        </is>
      </c>
    </row>
    <row r="29" ht="17.15" customHeight="1" s="42">
      <c r="A29" s="57" t="n">
        <v>25</v>
      </c>
      <c r="B29" s="59" t="inlineStr">
        <is>
          <t>안전수칙게시</t>
        </is>
      </c>
      <c r="C29" s="62" t="inlineStr">
        <is>
          <t>공통</t>
        </is>
      </c>
      <c r="D29" s="79" t="inlineStr">
        <is>
          <t>8. 안전수칙 게시</t>
        </is>
      </c>
    </row>
    <row r="30" ht="17.15" customHeight="1" s="42">
      <c r="A30" s="57" t="n">
        <v>26</v>
      </c>
      <c r="B30" s="59" t="inlineStr">
        <is>
          <t>비상대응 포스터</t>
        </is>
      </c>
      <c r="C30" s="62" t="inlineStr">
        <is>
          <t>공통</t>
        </is>
      </c>
      <c r="D30" s="79" t="inlineStr">
        <is>
          <t>8. 응급 대처 요령 게시</t>
        </is>
      </c>
    </row>
    <row r="31" ht="17.15" customHeight="1" s="42">
      <c r="A31" s="57" t="n">
        <v>27</v>
      </c>
      <c r="B31" s="59" t="inlineStr">
        <is>
          <t>가스차단 표지</t>
        </is>
      </c>
      <c r="C31" s="60" t="inlineStr">
        <is>
          <t>AI보완</t>
        </is>
      </c>
      <c r="D31" s="61" t="inlineStr">
        <is>
          <t>과학실 영역 명시 없음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41" min="1" max="1"/>
    <col width="22" customWidth="1" style="41" min="2" max="2"/>
    <col width="14" customWidth="1" style="41" min="3" max="3"/>
    <col width="50" customWidth="1" style="41" min="4" max="4"/>
    <col width="5" customWidth="1" style="41" min="5" max="8"/>
    <col width="14" customWidth="1" style="41" min="9" max="9"/>
  </cols>
  <sheetData>
    <row r="1" ht="20.1" customHeight="1" s="42">
      <c r="A1" s="65" t="inlineStr">
        <is>
          <t>부록 2 — 경기도교육청 「2025 과학실 안전관리 계획」 자체 점검표 29항목 vs AI 27</t>
        </is>
      </c>
    </row>
    <row r="2" ht="17.15" customHeight="1" s="42">
      <c r="H2" s="73" t="inlineStr">
        <is>
          <t>지표</t>
        </is>
      </c>
      <c r="I2" s="73" t="inlineStr">
        <is>
          <t>값</t>
        </is>
      </c>
    </row>
    <row r="3" ht="15" customHeight="1" s="42">
      <c r="H3" s="69" t="inlineStr">
        <is>
          <t>공통 보존율</t>
        </is>
      </c>
      <c r="I3" s="77">
        <f>(COUNTIF(C5:C31,"공통")+COUNTIF(C5:C31,"부분공통"))/COUNTA(B5:B31)</f>
        <v/>
      </c>
    </row>
    <row r="4" ht="17.15" customHeight="1" s="42">
      <c r="A4" s="55" t="inlineStr">
        <is>
          <t>#</t>
        </is>
      </c>
      <c r="B4" s="55" t="inlineStr">
        <is>
          <t>AI 항목</t>
        </is>
      </c>
      <c r="C4" s="56" t="inlineStr">
        <is>
          <t>매핑유형</t>
        </is>
      </c>
      <c r="D4" s="56" t="inlineStr">
        <is>
          <t>매핑 근거</t>
        </is>
      </c>
      <c r="H4" s="69" t="inlineStr">
        <is>
          <t>법령 자동 적용률</t>
        </is>
      </c>
      <c r="I4" s="77">
        <f>COUNTIF(C5:C31,"AI보완")/COUNTA(B5:B31)</f>
        <v/>
      </c>
    </row>
    <row r="5" ht="17.15" customHeight="1" s="42">
      <c r="A5" s="57" t="n">
        <v>1</v>
      </c>
      <c r="B5" s="59" t="inlineStr">
        <is>
          <t>비상샤워</t>
        </is>
      </c>
      <c r="C5" s="62" t="inlineStr">
        <is>
          <t>공통</t>
        </is>
      </c>
      <c r="D5" s="79" t="inlineStr">
        <is>
          <t>14. 비상샤워기 정상 작동</t>
        </is>
      </c>
      <c r="H5" s="69" t="inlineStr">
        <is>
          <t>자동 보완 항목 수</t>
        </is>
      </c>
      <c r="I5" s="68">
        <f>COUNTIF(C5:C31,"AI보완")</f>
        <v/>
      </c>
    </row>
    <row r="6" ht="17.15" customHeight="1" s="42">
      <c r="A6" s="57" t="n">
        <v>2</v>
      </c>
      <c r="B6" s="59" t="inlineStr">
        <is>
          <t>세안기</t>
        </is>
      </c>
      <c r="C6" s="62" t="inlineStr">
        <is>
          <t>공통</t>
        </is>
      </c>
      <c r="D6" s="79" t="inlineStr">
        <is>
          <t>14. 눈세척기 정상 작동</t>
        </is>
      </c>
      <c r="H6" s="75" t="inlineStr">
        <is>
          <t>기존 경기 과학실험실</t>
        </is>
      </c>
      <c r="I6" s="78" t="n">
        <v>29</v>
      </c>
    </row>
    <row r="7" ht="17.15" customHeight="1" s="42">
      <c r="A7" s="57" t="n">
        <v>3</v>
      </c>
      <c r="B7" s="59" t="inlineStr">
        <is>
          <t>가스차단밸브</t>
        </is>
      </c>
      <c r="C7" s="60" t="inlineStr">
        <is>
          <t>AI보완</t>
        </is>
      </c>
      <c r="D7" s="61" t="inlineStr">
        <is>
          <t>과학실 점검표에 명시 없음</t>
        </is>
      </c>
    </row>
    <row r="8" ht="17.15" customHeight="1" s="42">
      <c r="A8" s="57" t="n">
        <v>4</v>
      </c>
      <c r="B8" s="59" t="inlineStr">
        <is>
          <t>소화기</t>
        </is>
      </c>
      <c r="C8" s="62" t="inlineStr">
        <is>
          <t>공통</t>
        </is>
      </c>
      <c r="D8" s="79" t="inlineStr">
        <is>
          <t>11. 소화기(휴대용 포함)·방화사</t>
        </is>
      </c>
    </row>
    <row r="9" ht="17.15" customHeight="1" s="42">
      <c r="A9" s="57" t="n">
        <v>5</v>
      </c>
      <c r="B9" s="59" t="inlineStr">
        <is>
          <t>소화포</t>
        </is>
      </c>
      <c r="C9" s="62" t="inlineStr">
        <is>
          <t>공통</t>
        </is>
      </c>
      <c r="D9" s="79" t="inlineStr">
        <is>
          <t>11. 방화사</t>
        </is>
      </c>
    </row>
    <row r="10" ht="17.15" customHeight="1" s="42">
      <c r="A10" s="57" t="n">
        <v>6</v>
      </c>
      <c r="B10" s="59" t="inlineStr">
        <is>
          <t>응급처치함</t>
        </is>
      </c>
      <c r="C10" s="63" t="inlineStr">
        <is>
          <t>부분공통</t>
        </is>
      </c>
      <c r="D10" s="79" t="inlineStr">
        <is>
          <t>7. 응급대처 게시 — 응급처치함 자체 명시 없음</t>
        </is>
      </c>
    </row>
    <row r="11" ht="17.15" customHeight="1" s="42">
      <c r="A11" s="57" t="n">
        <v>7</v>
      </c>
      <c r="B11" s="59" t="inlineStr">
        <is>
          <t>흄후드</t>
        </is>
      </c>
      <c r="C11" s="62" t="inlineStr">
        <is>
          <t>공통</t>
        </is>
      </c>
      <c r="D11" s="79" t="inlineStr">
        <is>
          <t>12. 환풍기 + 15. 시약장 환기·필터점검</t>
        </is>
      </c>
    </row>
    <row r="12" ht="17.15" customHeight="1" s="42">
      <c r="A12" s="57" t="n">
        <v>8</v>
      </c>
      <c r="B12" s="59" t="inlineStr">
        <is>
          <t>국소배기장치</t>
        </is>
      </c>
      <c r="C12" s="63" t="inlineStr">
        <is>
          <t>부분공통</t>
        </is>
      </c>
      <c r="D12" s="79" t="inlineStr">
        <is>
          <t>12. 환풍기 — 국소배기 명시 없음</t>
        </is>
      </c>
    </row>
    <row r="13" ht="17.15" customHeight="1" s="42">
      <c r="A13" s="57" t="n">
        <v>9</v>
      </c>
      <c r="B13" s="59" t="inlineStr">
        <is>
          <t>기계환기구</t>
        </is>
      </c>
      <c r="C13" s="62" t="inlineStr">
        <is>
          <t>공통</t>
        </is>
      </c>
      <c r="D13" s="79" t="inlineStr">
        <is>
          <t>12. 환풍기</t>
        </is>
      </c>
    </row>
    <row r="14" ht="17.15" customHeight="1" s="42">
      <c r="A14" s="57" t="n">
        <v>10</v>
      </c>
      <c r="B14" s="59" t="inlineStr">
        <is>
          <t>천장디퓨저</t>
        </is>
      </c>
      <c r="C14" s="60" t="inlineStr">
        <is>
          <t>AI보완</t>
        </is>
      </c>
      <c r="D14" s="61" t="inlineStr">
        <is>
          <t>명시 없음</t>
        </is>
      </c>
    </row>
    <row r="15" ht="17.15" customHeight="1" s="42">
      <c r="A15" s="57" t="n">
        <v>11</v>
      </c>
      <c r="B15" s="59" t="inlineStr">
        <is>
          <t>시약장(잠금)</t>
        </is>
      </c>
      <c r="C15" s="62" t="inlineStr">
        <is>
          <t>공통</t>
        </is>
      </c>
      <c r="D15" s="79" t="inlineStr">
        <is>
          <t>15. 밀폐시약장 + 16. 잠금</t>
        </is>
      </c>
    </row>
    <row r="16" ht="17.15" customHeight="1" s="42">
      <c r="A16" s="57" t="n">
        <v>12</v>
      </c>
      <c r="B16" s="59" t="inlineStr">
        <is>
          <t>가스용기보관함</t>
        </is>
      </c>
      <c r="C16" s="60" t="inlineStr">
        <is>
          <t>AI보완</t>
        </is>
      </c>
      <c r="D16" s="61" t="inlineStr">
        <is>
          <t>과학실 점검표 명시 없음</t>
        </is>
      </c>
    </row>
    <row r="17" ht="17.15" customHeight="1" s="42">
      <c r="A17" s="57" t="n">
        <v>13</v>
      </c>
      <c r="B17" s="59" t="inlineStr">
        <is>
          <t>폐액용기</t>
        </is>
      </c>
      <c r="C17" s="62" t="inlineStr">
        <is>
          <t>공통</t>
        </is>
      </c>
      <c r="D17" s="79" t="inlineStr">
        <is>
          <t>20. 폐수·폐시약 보관함 이중시건</t>
        </is>
      </c>
    </row>
    <row r="18" ht="17.15" customHeight="1" s="42">
      <c r="A18" s="57" t="n">
        <v>14</v>
      </c>
      <c r="B18" s="59" t="inlineStr">
        <is>
          <t>개인보호구함</t>
        </is>
      </c>
      <c r="C18" s="63" t="inlineStr">
        <is>
          <t>부분공통</t>
        </is>
      </c>
      <c r="D18" s="79" t="inlineStr">
        <is>
          <t>10. 안전보호 장비 — 보관함 명시 없음</t>
        </is>
      </c>
    </row>
    <row r="19" ht="17.15" customHeight="1" s="42">
      <c r="A19" s="57" t="n">
        <v>15</v>
      </c>
      <c r="B19" s="59" t="inlineStr">
        <is>
          <t>화재감지기</t>
        </is>
      </c>
      <c r="C19" s="60" t="inlineStr">
        <is>
          <t>AI보완</t>
        </is>
      </c>
      <c r="D19" s="61" t="inlineStr">
        <is>
          <t>과학실 점검표 명시 없음</t>
        </is>
      </c>
    </row>
    <row r="20" ht="17.15" customHeight="1" s="42">
      <c r="A20" s="57" t="n">
        <v>16</v>
      </c>
      <c r="B20" s="59" t="inlineStr">
        <is>
          <t>가스누출감지기</t>
        </is>
      </c>
      <c r="C20" s="60" t="inlineStr">
        <is>
          <t>AI보완</t>
        </is>
      </c>
      <c r="D20" s="61" t="inlineStr">
        <is>
          <t>명시 없음</t>
        </is>
      </c>
    </row>
    <row r="21" ht="17.15" customHeight="1" s="42">
      <c r="A21" s="57" t="n">
        <v>17</v>
      </c>
      <c r="B21" s="59" t="inlineStr">
        <is>
          <t>비상벨</t>
        </is>
      </c>
      <c r="C21" s="60" t="inlineStr">
        <is>
          <t>AI보완</t>
        </is>
      </c>
      <c r="D21" s="61" t="inlineStr">
        <is>
          <t>명시 없음</t>
        </is>
      </c>
    </row>
    <row r="22" ht="17.15" customHeight="1" s="42">
      <c r="A22" s="57" t="n">
        <v>18</v>
      </c>
      <c r="B22" s="59" t="inlineStr">
        <is>
          <t>연기감지기</t>
        </is>
      </c>
      <c r="C22" s="60" t="inlineStr">
        <is>
          <t>AI보완</t>
        </is>
      </c>
      <c r="D22" s="61" t="inlineStr">
        <is>
          <t>과학실 점검표 명시 없음</t>
        </is>
      </c>
    </row>
    <row r="23" ht="17.15" customHeight="1" s="42">
      <c r="A23" s="57" t="n">
        <v>19</v>
      </c>
      <c r="B23" s="59" t="inlineStr">
        <is>
          <t>보안경</t>
        </is>
      </c>
      <c r="C23" s="62" t="inlineStr">
        <is>
          <t>공통</t>
        </is>
      </c>
      <c r="D23" s="79" t="inlineStr">
        <is>
          <t>10. 안전보호 장비(보안경)</t>
        </is>
      </c>
    </row>
    <row r="24" ht="17.15" customHeight="1" s="42">
      <c r="A24" s="57" t="n">
        <v>20</v>
      </c>
      <c r="B24" s="59" t="inlineStr">
        <is>
          <t>실험복</t>
        </is>
      </c>
      <c r="C24" s="62" t="inlineStr">
        <is>
          <t>공통</t>
        </is>
      </c>
      <c r="D24" s="79" t="inlineStr">
        <is>
          <t>10. 안전보호 장비(실험복)</t>
        </is>
      </c>
    </row>
    <row r="25" ht="17.15" customHeight="1" s="42">
      <c r="A25" s="57" t="n">
        <v>21</v>
      </c>
      <c r="B25" s="59" t="inlineStr">
        <is>
          <t>장갑</t>
        </is>
      </c>
      <c r="C25" s="62" t="inlineStr">
        <is>
          <t>공통</t>
        </is>
      </c>
      <c r="D25" s="79" t="inlineStr">
        <is>
          <t>10. 내화학 장갑</t>
        </is>
      </c>
    </row>
    <row r="26" ht="17.15" customHeight="1" s="42">
      <c r="A26" s="57" t="n">
        <v>22</v>
      </c>
      <c r="B26" s="59" t="inlineStr">
        <is>
          <t>방독면</t>
        </is>
      </c>
      <c r="C26" s="63" t="inlineStr">
        <is>
          <t>부분공통</t>
        </is>
      </c>
      <c r="D26" s="79" t="inlineStr">
        <is>
          <t>10. 마스크 — 방독면 명시 없음</t>
        </is>
      </c>
    </row>
    <row r="27" ht="17.15" customHeight="1" s="42">
      <c r="A27" s="57" t="n">
        <v>23</v>
      </c>
      <c r="B27" s="59" t="inlineStr">
        <is>
          <t>실험화</t>
        </is>
      </c>
      <c r="C27" s="60" t="inlineStr">
        <is>
          <t>AI보완</t>
        </is>
      </c>
      <c r="D27" s="61" t="inlineStr">
        <is>
          <t>명시 없음</t>
        </is>
      </c>
    </row>
    <row r="28" ht="17.15" customHeight="1" s="42">
      <c r="A28" s="57" t="n">
        <v>24</v>
      </c>
      <c r="B28" s="64" t="inlineStr">
        <is>
          <t>MSDS비치</t>
        </is>
      </c>
      <c r="C28" s="62" t="inlineStr">
        <is>
          <t>공통</t>
        </is>
      </c>
      <c r="D28" s="79" t="inlineStr">
        <is>
          <t>9. MSDS 게시·비치</t>
        </is>
      </c>
    </row>
    <row r="29" ht="17.15" customHeight="1" s="42">
      <c r="A29" s="57" t="n">
        <v>25</v>
      </c>
      <c r="B29" s="59" t="inlineStr">
        <is>
          <t>안전수칙게시</t>
        </is>
      </c>
      <c r="C29" s="62" t="inlineStr">
        <is>
          <t>공통</t>
        </is>
      </c>
      <c r="D29" s="79" t="inlineStr">
        <is>
          <t>7. 안전수칙 게시</t>
        </is>
      </c>
    </row>
    <row r="30" ht="17.15" customHeight="1" s="42">
      <c r="A30" s="57" t="n">
        <v>26</v>
      </c>
      <c r="B30" s="59" t="inlineStr">
        <is>
          <t>비상대응 포스터</t>
        </is>
      </c>
      <c r="C30" s="62" t="inlineStr">
        <is>
          <t>공통</t>
        </is>
      </c>
      <c r="D30" s="79" t="inlineStr">
        <is>
          <t>7. 응급대처·비상연락망 게시</t>
        </is>
      </c>
    </row>
    <row r="31" ht="17.15" customHeight="1" s="42">
      <c r="A31" s="57" t="n">
        <v>27</v>
      </c>
      <c r="B31" s="59" t="inlineStr">
        <is>
          <t>가스차단 표지</t>
        </is>
      </c>
      <c r="C31" s="60" t="inlineStr">
        <is>
          <t>AI보완</t>
        </is>
      </c>
      <c r="D31" s="61" t="inlineStr">
        <is>
          <t>명시 없음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41" min="1" max="1"/>
    <col width="18" customWidth="1" style="41" min="2" max="2"/>
    <col width="35" customWidth="1" style="41" min="3" max="3"/>
  </cols>
  <sheetData>
    <row r="1" ht="20.1" customHeight="1" s="42">
      <c r="A1" s="65" t="inlineStr">
        <is>
          <t>슬라이드 11 TBD 치환 — 메인 수치 (교육부 표준 기준)</t>
        </is>
      </c>
    </row>
    <row r="2" ht="14.15" customHeight="1" s="42">
      <c r="A2" s="75" t="inlineStr">
        <is>
          <t>※ 부록 수치는 부록_서울 / 부록_경기 시트 우측 I열 참조</t>
        </is>
      </c>
    </row>
    <row r="4" ht="17.15" customHeight="1" s="42">
      <c r="A4" s="56" t="inlineStr">
        <is>
          <t>슬라이드 11 지표</t>
        </is>
      </c>
      <c r="B4" s="56" t="inlineStr">
        <is>
          <t>값</t>
        </is>
      </c>
      <c r="C4" s="56" t="inlineStr">
        <is>
          <t>출처</t>
        </is>
      </c>
    </row>
    <row r="5" ht="17.9" customHeight="1" s="42">
      <c r="A5" s="59" t="inlineStr">
        <is>
          <t>공통 보존율</t>
        </is>
      </c>
      <c r="B5" s="80">
        <f>지표_요약!B12</f>
        <v/>
      </c>
      <c r="C5" s="61" t="inlineStr">
        <is>
          <t>지표_요약!B12</t>
        </is>
      </c>
    </row>
    <row r="6" ht="17.9" customHeight="1" s="42">
      <c r="A6" s="59" t="inlineStr">
        <is>
          <t>법령 자동 적용률</t>
        </is>
      </c>
      <c r="B6" s="80">
        <f>지표_요약!B13</f>
        <v/>
      </c>
      <c r="C6" s="61" t="inlineStr">
        <is>
          <t>지표_요약!B13</t>
        </is>
      </c>
    </row>
    <row r="7" ht="17.9" customHeight="1" s="42">
      <c r="A7" s="59" t="inlineStr">
        <is>
          <t>자동 보완 항목 수</t>
        </is>
      </c>
      <c r="B7" s="81">
        <f>지표_요약!B14</f>
        <v/>
      </c>
      <c r="C7" s="61" t="inlineStr">
        <is>
          <t>지표_요약!B14</t>
        </is>
      </c>
    </row>
    <row r="10" ht="17.15" customHeight="1" s="42">
      <c r="A10" s="66" t="inlineStr">
        <is>
          <t>[권장 슬라이드 11 카피]</t>
        </is>
      </c>
    </row>
    <row r="11" ht="15" customHeight="1" s="42">
      <c r="A11" s="69" t="inlineStr">
        <is>
          <t>공통 보존율 / 법령 자동 적용률 / 자동 보완 항목 수</t>
        </is>
      </c>
    </row>
    <row r="12" ht="14.15" customHeight="1" s="42">
      <c r="A12" s="75" t="inlineStr">
        <is>
          <t>기준: 교육부 학교안전총괄과 「학교안전점검의날 체크리스트」(2020)</t>
        </is>
      </c>
    </row>
    <row r="13" ht="14.15" customHeight="1" s="42">
      <c r="A13" s="82" t="inlineStr">
        <is>
          <t>* 교육부 표준은 공통 핵심을 다루며 공간별 세부는 담당자가 다중 법령 적용. AI는 그 적용을 자동화.</t>
        </is>
      </c>
    </row>
  </sheetData>
  <mergeCells count="6">
    <mergeCell ref="A10:C10"/>
    <mergeCell ref="A13:C13"/>
    <mergeCell ref="A11:C11"/>
    <mergeCell ref="A1:C1"/>
    <mergeCell ref="A12:C1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2026-04-23T12:21:21Z</dcterms:created>
  <dcterms:modified xmlns:dcterms="http://purl.org/dc/terms/" xmlns:xsi="http://www.w3.org/2001/XMLSchema-instance" xsi:type="dcterms:W3CDTF">2026-04-23T12:27:33Z</dcterms:modified>
  <cp:revision>0</cp:revision>
</cp:coreProperties>
</file>